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CIÓN" sheetId="1" r:id="rId4"/>
    <sheet state="visible" name="Hoja1" sheetId="2" r:id="rId5"/>
  </sheets>
  <definedNames/>
  <calcPr/>
  <extLst>
    <ext uri="GoogleSheetsCustomDataVersion2">
      <go:sheetsCustomData xmlns:go="http://customooxmlschemas.google.com/" r:id="rId6" roundtripDataChecksum="4wmxV34BZNvZYdaVhEQxysgUf8UDejaCNViysrp4UZY="/>
    </ext>
  </extLst>
</workbook>
</file>

<file path=xl/sharedStrings.xml><?xml version="1.0" encoding="utf-8"?>
<sst xmlns="http://schemas.openxmlformats.org/spreadsheetml/2006/main" count="74" uniqueCount="70">
  <si>
    <t>Desarrollo</t>
  </si>
  <si>
    <t>Estimación de desarrollo</t>
  </si>
  <si>
    <t>Estimacion</t>
  </si>
  <si>
    <t>Construccion (desarrollo y PU)</t>
  </si>
  <si>
    <t>BUG y puesta produccion</t>
  </si>
  <si>
    <t>analisis</t>
  </si>
  <si>
    <t>reunion</t>
  </si>
  <si>
    <r>
      <rPr>
        <rFont val="Franklin Gothic Book"/>
        <b/>
        <color theme="1"/>
        <sz val="16.0"/>
      </rPr>
      <t>CLIENTE</t>
    </r>
    <r>
      <rPr>
        <rFont val="Franklin Gothic Book"/>
        <b/>
        <color theme="1"/>
        <sz val="14.0"/>
      </rPr>
      <t xml:space="preserve"> - Proyecto</t>
    </r>
  </si>
  <si>
    <t>Clasificacion por tipo de programa y por complejidad    /    Horas standard de programacion (O.F.)</t>
  </si>
  <si>
    <t>Modulos</t>
  </si>
  <si>
    <t>Desa.</t>
  </si>
  <si>
    <t>Si/No</t>
  </si>
  <si>
    <t>FS</t>
  </si>
  <si>
    <t>FSC</t>
  </si>
  <si>
    <t>FC</t>
  </si>
  <si>
    <t>FMC</t>
  </si>
  <si>
    <t>FMC+</t>
  </si>
  <si>
    <t>BS</t>
  </si>
  <si>
    <t>BSC</t>
  </si>
  <si>
    <t>BC</t>
  </si>
  <si>
    <t>BMC</t>
  </si>
  <si>
    <t>BMC+</t>
  </si>
  <si>
    <t>RS</t>
  </si>
  <si>
    <t>RSC</t>
  </si>
  <si>
    <t>RC</t>
  </si>
  <si>
    <t>RMC</t>
  </si>
  <si>
    <t>RMC+</t>
  </si>
  <si>
    <t>Menu</t>
  </si>
  <si>
    <t>Total Pgm</t>
  </si>
  <si>
    <t xml:space="preserve">   Puntos Funcionales</t>
  </si>
  <si>
    <t>ref.</t>
  </si>
  <si>
    <t>calculo</t>
  </si>
  <si>
    <t xml:space="preserve"> %</t>
  </si>
  <si>
    <t>Modif.</t>
  </si>
  <si>
    <t xml:space="preserve"> 1/0</t>
  </si>
  <si>
    <t>TOTAL Programación</t>
  </si>
  <si>
    <t>HORAS Totales</t>
  </si>
  <si>
    <t xml:space="preserve"> Programacion (incluyendo prueba unitaria)</t>
  </si>
  <si>
    <t>(1)</t>
  </si>
  <si>
    <t xml:space="preserve"> Prueba funcional e integracion (incluye correccion bugs)</t>
  </si>
  <si>
    <t>(2)</t>
  </si>
  <si>
    <t>(1) x %</t>
  </si>
  <si>
    <t xml:space="preserve"> Subtotal Contruccion</t>
  </si>
  <si>
    <t>(3)</t>
  </si>
  <si>
    <t>(1) + (2)</t>
  </si>
  <si>
    <t xml:space="preserve"> Administracion</t>
  </si>
  <si>
    <t>(4)</t>
  </si>
  <si>
    <t>(3) x %</t>
  </si>
  <si>
    <t xml:space="preserve"> Control de Calidad</t>
  </si>
  <si>
    <t>(5)</t>
  </si>
  <si>
    <t xml:space="preserve"> DBA</t>
  </si>
  <si>
    <t>(6)</t>
  </si>
  <si>
    <t xml:space="preserve"> Documentacion</t>
  </si>
  <si>
    <t>(7)</t>
  </si>
  <si>
    <t xml:space="preserve"> Total Contruccion</t>
  </si>
  <si>
    <t>(8)</t>
  </si>
  <si>
    <t>suma</t>
  </si>
  <si>
    <t>HORAS Totales por Etapa CASE</t>
  </si>
  <si>
    <t>dias</t>
  </si>
  <si>
    <t>sem.</t>
  </si>
  <si>
    <t>per</t>
  </si>
  <si>
    <t>sem</t>
  </si>
  <si>
    <t>meses</t>
  </si>
  <si>
    <t xml:space="preserve"> Estrategia</t>
  </si>
  <si>
    <t>% suma</t>
  </si>
  <si>
    <t xml:space="preserve"> Análisis</t>
  </si>
  <si>
    <t xml:space="preserve"> Diseño </t>
  </si>
  <si>
    <t xml:space="preserve"> Construcción</t>
  </si>
  <si>
    <t xml:space="preserve"> Transición</t>
  </si>
  <si>
    <t>TOTAL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</si>
</sst>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11">
    <font>
      <sz val="10.0"/>
      <color rgb="FF000000"/>
      <name val="Open Sans"/>
      <scheme val="minor"/>
    </font>
    <font>
      <sz val="10.0"/>
      <color rgb="FF000000"/>
      <name val="Open Sans"/>
    </font>
    <font/>
    <font>
      <b/>
      <sz val="18.0"/>
      <color theme="1"/>
      <name val="Libre Franklin"/>
    </font>
    <font>
      <sz val="10.0"/>
      <color theme="1"/>
      <name val="Libre Franklin"/>
    </font>
    <font>
      <b/>
      <sz val="14.0"/>
      <color theme="1"/>
      <name val="Libre Franklin"/>
    </font>
    <font>
      <b/>
      <sz val="10.0"/>
      <color theme="1"/>
      <name val="Libre Franklin"/>
    </font>
    <font>
      <sz val="8.0"/>
      <color theme="1"/>
      <name val="Libre Franklin"/>
    </font>
    <font>
      <color theme="1"/>
      <name val="Open Sans"/>
    </font>
    <font>
      <b/>
      <i/>
      <sz val="10.0"/>
      <color theme="1"/>
      <name val="Libre Franklin"/>
    </font>
    <font>
      <sz val="10.0"/>
      <color rgb="FF000000"/>
      <name val="Libre Franklin"/>
    </font>
  </fonts>
  <fills count="9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D23632"/>
        <bgColor rgb="FFD23632"/>
      </patternFill>
    </fill>
    <fill>
      <patternFill patternType="solid">
        <fgColor rgb="FF92D050"/>
        <bgColor rgb="FF92D050"/>
      </patternFill>
    </fill>
  </fills>
  <borders count="26">
    <border/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top/>
      <bottom/>
    </border>
    <border>
      <top/>
      <bottom/>
    </border>
    <border>
      <left/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</border>
    <border>
      <left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9" xfId="0" applyBorder="1" applyFill="1" applyFont="1" applyNumberFormat="1"/>
    <xf borderId="2" fillId="3" fontId="1" numFmtId="0" xfId="0" applyAlignment="1" applyBorder="1" applyFill="1" applyFont="1">
      <alignment horizontal="left" vertical="center"/>
    </xf>
    <xf borderId="3" fillId="4" fontId="1" numFmtId="9" xfId="0" applyAlignment="1" applyBorder="1" applyFill="1" applyFont="1" applyNumberFormat="1">
      <alignment horizontal="center"/>
    </xf>
    <xf borderId="4" fillId="0" fontId="2" numFmtId="0" xfId="0" applyBorder="1" applyFont="1"/>
    <xf borderId="1" fillId="5" fontId="1" numFmtId="9" xfId="0" applyBorder="1" applyFill="1" applyFont="1" applyNumberFormat="1"/>
    <xf borderId="5" fillId="6" fontId="3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0" fillId="0" fontId="4" numFmtId="0" xfId="0" applyAlignment="1" applyFont="1">
      <alignment horizontal="center" vertical="center"/>
    </xf>
    <xf borderId="8" fillId="7" fontId="5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quotePrefix="1" borderId="13" fillId="6" fontId="4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2" fillId="0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center" vertical="center"/>
    </xf>
    <xf quotePrefix="1" borderId="0" fillId="0" fontId="4" numFmtId="0" xfId="0" applyAlignment="1" applyFont="1">
      <alignment horizontal="center" vertical="center"/>
    </xf>
    <xf quotePrefix="1" borderId="16" fillId="0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quotePrefix="1" borderId="17" fillId="0" fontId="6" numFmtId="0" xfId="0" applyAlignment="1" applyBorder="1" applyFont="1">
      <alignment horizontal="left" shrinkToFit="0" vertical="center" wrapText="1"/>
    </xf>
    <xf borderId="18" fillId="0" fontId="4" numFmtId="0" xfId="0" applyAlignment="1" applyBorder="1" applyFont="1">
      <alignment horizontal="center" vertical="center"/>
    </xf>
    <xf quotePrefix="1" borderId="18" fillId="0" fontId="6" numFmtId="0" xfId="0" applyAlignment="1" applyBorder="1" applyFont="1">
      <alignment horizontal="center" vertical="center"/>
    </xf>
    <xf quotePrefix="1" borderId="18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0" fillId="0" fontId="8" numFmtId="164" xfId="0" applyFont="1" applyNumberFormat="1"/>
    <xf borderId="16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left" shrinkToFit="0" vertical="center" wrapText="1"/>
    </xf>
    <xf borderId="20" fillId="6" fontId="4" numFmtId="0" xfId="0" applyAlignment="1" applyBorder="1" applyFont="1">
      <alignment horizontal="left" shrinkToFit="0" vertical="center" wrapText="1"/>
    </xf>
    <xf borderId="21" fillId="6" fontId="4" numFmtId="0" xfId="0" applyAlignment="1" applyBorder="1" applyFont="1">
      <alignment horizontal="center" vertical="center"/>
    </xf>
    <xf borderId="22" fillId="6" fontId="4" numFmtId="0" xfId="0" applyAlignment="1" applyBorder="1" applyFont="1">
      <alignment horizontal="center" vertical="center"/>
    </xf>
    <xf borderId="16" fillId="0" fontId="4" numFmtId="1" xfId="0" applyAlignment="1" applyBorder="1" applyFont="1" applyNumberFormat="1">
      <alignment horizontal="center" vertical="center"/>
    </xf>
    <xf quotePrefix="1" borderId="12" fillId="0" fontId="4" numFmtId="0" xfId="0" applyAlignment="1" applyBorder="1" applyFont="1">
      <alignment horizontal="left" shrinkToFit="0" vertical="center" wrapText="1"/>
    </xf>
    <xf borderId="1" fillId="6" fontId="4" numFmtId="0" xfId="0" applyAlignment="1" applyBorder="1" applyFont="1">
      <alignment horizontal="center" vertical="center"/>
    </xf>
    <xf quotePrefix="1" borderId="12" fillId="0" fontId="6" numFmtId="0" xfId="0" applyAlignment="1" applyBorder="1" applyFont="1">
      <alignment horizontal="left" shrinkToFit="0" vertical="center" wrapText="1"/>
    </xf>
    <xf borderId="23" fillId="2" fontId="6" numFmtId="1" xfId="0" applyAlignment="1" applyBorder="1" applyFont="1" applyNumberFormat="1">
      <alignment horizontal="center" vertical="center"/>
    </xf>
    <xf borderId="6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0" fillId="0" fontId="6" numFmtId="1" xfId="0" applyAlignment="1" applyFont="1" applyNumberFormat="1">
      <alignment horizontal="center" vertical="center"/>
    </xf>
    <xf borderId="16" fillId="0" fontId="6" numFmtId="0" xfId="0" applyAlignment="1" applyBorder="1" applyFont="1">
      <alignment horizontal="center" vertical="center"/>
    </xf>
    <xf borderId="1" fillId="6" fontId="6" numFmtId="0" xfId="0" applyAlignment="1" applyBorder="1" applyFont="1">
      <alignment horizontal="center" vertical="center"/>
    </xf>
    <xf borderId="16" fillId="0" fontId="6" numFmtId="2" xfId="0" applyAlignment="1" applyBorder="1" applyFont="1" applyNumberFormat="1">
      <alignment horizontal="center" vertical="center"/>
    </xf>
    <xf quotePrefix="1" borderId="24" fillId="0" fontId="6" numFmtId="0" xfId="0" applyAlignment="1" applyBorder="1" applyFont="1">
      <alignment horizontal="left" shrinkToFit="0" vertical="center" wrapText="1"/>
    </xf>
    <xf borderId="10" fillId="0" fontId="4" numFmtId="0" xfId="0" applyAlignment="1" applyBorder="1" applyFont="1">
      <alignment horizontal="center" vertical="center"/>
    </xf>
    <xf borderId="25" fillId="8" fontId="6" numFmtId="1" xfId="0" applyAlignment="1" applyBorder="1" applyFill="1" applyFont="1" applyNumberFormat="1">
      <alignment horizontal="center" vertical="center"/>
    </xf>
    <xf borderId="10" fillId="0" fontId="6" numFmtId="1" xfId="0" applyAlignment="1" applyBorder="1" applyFont="1" applyNumberFormat="1">
      <alignment horizontal="center" vertical="center"/>
    </xf>
    <xf borderId="10" fillId="0" fontId="6" numFmtId="0" xfId="0" applyAlignment="1" applyBorder="1" applyFont="1">
      <alignment horizontal="center" vertical="center"/>
    </xf>
    <xf borderId="11" fillId="0" fontId="6" numFmtId="2" xfId="0" applyAlignment="1" applyBorder="1" applyFont="1" applyNumberForma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4" numFmtId="2" xfId="0" applyAlignment="1" applyFont="1" applyNumberFormat="1">
      <alignment horizontal="center" vertical="center"/>
    </xf>
    <xf borderId="0" fillId="0" fontId="9" numFmtId="2" xfId="0" applyAlignment="1" applyFont="1" applyNumberFormat="1">
      <alignment horizontal="center" vertical="center"/>
    </xf>
    <xf borderId="0" fillId="0" fontId="10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38325" cy="466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57.43"/>
    <col customWidth="1" min="2" max="2" width="3.57"/>
    <col customWidth="1" min="3" max="3" width="7.57"/>
    <col customWidth="1" min="4" max="4" width="4.43"/>
    <col customWidth="1" min="5" max="5" width="6.0"/>
    <col customWidth="1" min="6" max="8" width="5.57"/>
    <col customWidth="1" min="9" max="9" width="4.43"/>
    <col customWidth="1" min="10" max="10" width="4.71"/>
    <col customWidth="1" min="11" max="11" width="5.86"/>
    <col customWidth="1" min="12" max="12" width="3.14"/>
    <col customWidth="1" min="13" max="13" width="4.29"/>
    <col customWidth="1" min="14" max="14" width="3.29"/>
    <col customWidth="1" min="15" max="15" width="4.86"/>
    <col customWidth="1" min="16" max="16" width="6.0"/>
    <col customWidth="1" min="17" max="17" width="3.14"/>
    <col customWidth="1" min="18" max="18" width="4.29"/>
    <col customWidth="1" min="19" max="19" width="3.29"/>
    <col customWidth="1" min="20" max="20" width="4.86"/>
    <col customWidth="1" min="21" max="21" width="6.0"/>
    <col customWidth="1" min="22" max="22" width="5.57"/>
    <col customWidth="1" min="23" max="23" width="10.29"/>
    <col customWidth="1" min="24" max="24" width="5.14"/>
    <col customWidth="1" min="25" max="25" width="5.71"/>
    <col customWidth="1" min="26" max="26" width="4.29"/>
    <col customWidth="1" min="27" max="27" width="5.14"/>
    <col customWidth="1" min="28" max="28" width="7.29"/>
    <col customWidth="1" min="29" max="33" width="4.71"/>
    <col customWidth="1" min="34" max="34" width="6.29"/>
    <col customWidth="1" min="35" max="40" width="4.71"/>
  </cols>
  <sheetData>
    <row r="1" ht="36.75" customHeight="1">
      <c r="A1" s="3"/>
      <c r="B1" s="7" t="s">
        <v>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</row>
    <row r="2" ht="13.5" customHeight="1">
      <c r="A2" s="11" t="s">
        <v>7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4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3" ht="13.5" customHeight="1">
      <c r="A3" s="15"/>
      <c r="B3" s="16" t="s">
        <v>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8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ht="13.5" customHeight="1">
      <c r="A4" s="19" t="s">
        <v>9</v>
      </c>
      <c r="B4" s="20"/>
      <c r="C4" s="20"/>
      <c r="D4" s="20"/>
      <c r="E4" s="21" t="s">
        <v>10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15</v>
      </c>
      <c r="K4" s="10" t="s">
        <v>16</v>
      </c>
      <c r="L4" s="10" t="s">
        <v>17</v>
      </c>
      <c r="M4" s="10" t="s">
        <v>18</v>
      </c>
      <c r="N4" s="10" t="s">
        <v>19</v>
      </c>
      <c r="O4" s="10" t="s">
        <v>20</v>
      </c>
      <c r="P4" s="10" t="s">
        <v>21</v>
      </c>
      <c r="Q4" s="10" t="s">
        <v>22</v>
      </c>
      <c r="R4" s="10" t="s">
        <v>23</v>
      </c>
      <c r="S4" s="10" t="s">
        <v>24</v>
      </c>
      <c r="T4" s="10" t="s">
        <v>25</v>
      </c>
      <c r="U4" s="10" t="s">
        <v>26</v>
      </c>
      <c r="V4" s="10" t="s">
        <v>27</v>
      </c>
      <c r="W4" s="22" t="s">
        <v>28</v>
      </c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</row>
    <row r="5" ht="13.5" customHeight="1">
      <c r="A5" s="24" t="s">
        <v>29</v>
      </c>
      <c r="B5" s="25" t="s">
        <v>30</v>
      </c>
      <c r="C5" s="25" t="s">
        <v>31</v>
      </c>
      <c r="D5" s="26" t="s">
        <v>32</v>
      </c>
      <c r="E5" s="27" t="s">
        <v>33</v>
      </c>
      <c r="F5" s="27" t="s">
        <v>34</v>
      </c>
      <c r="G5" s="25">
        <v>4.0</v>
      </c>
      <c r="H5" s="25">
        <v>12.0</v>
      </c>
      <c r="I5" s="25">
        <v>24.0</v>
      </c>
      <c r="J5" s="25">
        <v>32.0</v>
      </c>
      <c r="K5" s="25">
        <v>80.0</v>
      </c>
      <c r="L5" s="25">
        <v>4.0</v>
      </c>
      <c r="M5" s="25">
        <v>8.0</v>
      </c>
      <c r="N5" s="25">
        <v>24.0</v>
      </c>
      <c r="O5" s="25">
        <v>32.0</v>
      </c>
      <c r="P5" s="25">
        <v>80.0</v>
      </c>
      <c r="Q5" s="25">
        <v>4.0</v>
      </c>
      <c r="R5" s="25">
        <v>8.0</v>
      </c>
      <c r="S5" s="25">
        <v>24.0</v>
      </c>
      <c r="T5" s="25">
        <v>40.0</v>
      </c>
      <c r="U5" s="25">
        <v>64.0</v>
      </c>
      <c r="V5" s="25">
        <v>4.0</v>
      </c>
      <c r="W5" s="28"/>
      <c r="X5" s="10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</row>
    <row r="6" ht="13.5" customHeight="1">
      <c r="A6" s="29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30">
        <f t="shared" ref="W6:W32" si="1">G6*G$5+H6*H$5+I6*I$5+J6*J$5+K6*K$5+L6*L$5+M6*M$5+N6*N$5+O6*O$5+P6*P$5+Q6*Q$5+R6*R$5+S6*S$5+T6*T$5+U6*U$5+V6*V$5</f>
        <v>0</v>
      </c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</row>
    <row r="7" ht="13.5" customHeight="1">
      <c r="A7" s="2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30">
        <f t="shared" si="1"/>
        <v>0</v>
      </c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ht="15.75" customHeight="1">
      <c r="A8" s="2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30">
        <f t="shared" si="1"/>
        <v>0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ht="13.5" customHeight="1">
      <c r="A9" s="2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30">
        <f t="shared" si="1"/>
        <v>0</v>
      </c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ht="13.5" customHeight="1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30">
        <f t="shared" si="1"/>
        <v>0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ht="13.5" customHeight="1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30">
        <f t="shared" si="1"/>
        <v>0</v>
      </c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ht="13.5" customHeight="1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30">
        <f t="shared" si="1"/>
        <v>0</v>
      </c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 ht="13.5" customHeight="1">
      <c r="A13" s="31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30">
        <f t="shared" si="1"/>
        <v>0</v>
      </c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ht="13.5" customHeight="1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30">
        <f t="shared" si="1"/>
        <v>0</v>
      </c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ht="13.5" customHeight="1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30">
        <f t="shared" si="1"/>
        <v>0</v>
      </c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ht="13.5" customHeight="1">
      <c r="A16" s="31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30">
        <f t="shared" si="1"/>
        <v>0</v>
      </c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 ht="13.5" customHeight="1">
      <c r="A17" s="31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30">
        <f t="shared" si="1"/>
        <v>0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ht="13.5" customHeight="1">
      <c r="A18" s="31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30">
        <f t="shared" si="1"/>
        <v>0</v>
      </c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</row>
    <row r="19" ht="13.5" customHeight="1">
      <c r="A19" s="31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30">
        <f t="shared" si="1"/>
        <v>0</v>
      </c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 ht="13.5" customHeight="1">
      <c r="A20" s="31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30">
        <f t="shared" si="1"/>
        <v>0</v>
      </c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ht="13.5" customHeight="1">
      <c r="A21" s="3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30">
        <f t="shared" si="1"/>
        <v>0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ht="13.5" customHeight="1">
      <c r="A22" s="31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30">
        <f t="shared" si="1"/>
        <v>0</v>
      </c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ht="13.5" customHeight="1">
      <c r="A23" s="31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30">
        <f t="shared" si="1"/>
        <v>0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ht="13.5" customHeight="1">
      <c r="A24" s="31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30">
        <f t="shared" si="1"/>
        <v>0</v>
      </c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ht="13.5" customHeight="1">
      <c r="A25" s="31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30">
        <f t="shared" si="1"/>
        <v>0</v>
      </c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ht="13.5" customHeight="1">
      <c r="A26" s="31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30">
        <f t="shared" si="1"/>
        <v>0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ht="13.5" customHeight="1">
      <c r="A27" s="31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30">
        <f t="shared" si="1"/>
        <v>0</v>
      </c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ht="13.5" customHeight="1">
      <c r="A28" s="31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30">
        <f t="shared" si="1"/>
        <v>0</v>
      </c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ht="13.5" customHeight="1">
      <c r="A29" s="31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30">
        <f t="shared" si="1"/>
        <v>0</v>
      </c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ht="13.5" customHeight="1">
      <c r="A30" s="31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30">
        <f t="shared" si="1"/>
        <v>0</v>
      </c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ht="13.5" customHeight="1">
      <c r="A31" s="31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30">
        <f t="shared" si="1"/>
        <v>0</v>
      </c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ht="13.5" customHeight="1">
      <c r="A32" s="31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30">
        <f t="shared" si="1"/>
        <v>0</v>
      </c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ht="13.5" customHeight="1">
      <c r="A33" s="32" t="s">
        <v>35</v>
      </c>
      <c r="B33" s="33"/>
      <c r="C33" s="33"/>
      <c r="D33" s="33"/>
      <c r="E33" s="33"/>
      <c r="F33" s="33">
        <f t="shared" ref="F33:V33" si="2">SUM(F6:F32)</f>
        <v>0</v>
      </c>
      <c r="G33" s="33">
        <f t="shared" si="2"/>
        <v>0</v>
      </c>
      <c r="H33" s="33">
        <f t="shared" si="2"/>
        <v>0</v>
      </c>
      <c r="I33" s="33">
        <f t="shared" si="2"/>
        <v>0</v>
      </c>
      <c r="J33" s="33">
        <f t="shared" si="2"/>
        <v>0</v>
      </c>
      <c r="K33" s="33">
        <f t="shared" si="2"/>
        <v>0</v>
      </c>
      <c r="L33" s="33">
        <f t="shared" si="2"/>
        <v>0</v>
      </c>
      <c r="M33" s="33">
        <f t="shared" si="2"/>
        <v>0</v>
      </c>
      <c r="N33" s="33">
        <f t="shared" si="2"/>
        <v>0</v>
      </c>
      <c r="O33" s="33">
        <f t="shared" si="2"/>
        <v>0</v>
      </c>
      <c r="P33" s="33">
        <f t="shared" si="2"/>
        <v>0</v>
      </c>
      <c r="Q33" s="33">
        <f t="shared" si="2"/>
        <v>0</v>
      </c>
      <c r="R33" s="33">
        <f t="shared" si="2"/>
        <v>0</v>
      </c>
      <c r="S33" s="33">
        <f t="shared" si="2"/>
        <v>0</v>
      </c>
      <c r="T33" s="33">
        <f t="shared" si="2"/>
        <v>0</v>
      </c>
      <c r="U33" s="33">
        <f t="shared" si="2"/>
        <v>0</v>
      </c>
      <c r="V33" s="33">
        <f t="shared" si="2"/>
        <v>0</v>
      </c>
      <c r="W33" s="34">
        <f>SUM(G33:V33)</f>
        <v>0</v>
      </c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ht="13.5" customHeight="1">
      <c r="A34" s="19"/>
      <c r="B34" s="20"/>
      <c r="C34" s="20"/>
      <c r="D34" s="2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35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ht="13.5" customHeight="1">
      <c r="A35" s="19" t="s">
        <v>36</v>
      </c>
      <c r="B35" s="20"/>
      <c r="C35" s="2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35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ht="13.5" customHeight="1">
      <c r="A36" s="36" t="s">
        <v>37</v>
      </c>
      <c r="B36" s="21" t="s">
        <v>38</v>
      </c>
      <c r="C36" s="10"/>
      <c r="D36" s="10"/>
      <c r="E36" s="10"/>
      <c r="F36" s="10"/>
      <c r="G36" s="10">
        <f t="shared" ref="G36:V36" si="3">+G33*G5</f>
        <v>0</v>
      </c>
      <c r="H36" s="10">
        <f t="shared" si="3"/>
        <v>0</v>
      </c>
      <c r="I36" s="10">
        <f t="shared" si="3"/>
        <v>0</v>
      </c>
      <c r="J36" s="10">
        <f t="shared" si="3"/>
        <v>0</v>
      </c>
      <c r="K36" s="10">
        <f t="shared" si="3"/>
        <v>0</v>
      </c>
      <c r="L36" s="10">
        <f t="shared" si="3"/>
        <v>0</v>
      </c>
      <c r="M36" s="10">
        <f t="shared" si="3"/>
        <v>0</v>
      </c>
      <c r="N36" s="10">
        <f t="shared" si="3"/>
        <v>0</v>
      </c>
      <c r="O36" s="10">
        <f t="shared" si="3"/>
        <v>0</v>
      </c>
      <c r="P36" s="10">
        <f t="shared" si="3"/>
        <v>0</v>
      </c>
      <c r="Q36" s="10">
        <f t="shared" si="3"/>
        <v>0</v>
      </c>
      <c r="R36" s="10">
        <f t="shared" si="3"/>
        <v>0</v>
      </c>
      <c r="S36" s="10">
        <f t="shared" si="3"/>
        <v>0</v>
      </c>
      <c r="T36" s="10">
        <f t="shared" si="3"/>
        <v>0</v>
      </c>
      <c r="U36" s="10">
        <f t="shared" si="3"/>
        <v>0</v>
      </c>
      <c r="V36" s="10">
        <f t="shared" si="3"/>
        <v>0</v>
      </c>
      <c r="W36" s="35">
        <f>SUM(G36:V36)</f>
        <v>0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ht="13.5" customHeight="1">
      <c r="A37" s="36" t="s">
        <v>39</v>
      </c>
      <c r="B37" s="21" t="s">
        <v>40</v>
      </c>
      <c r="C37" s="21" t="s">
        <v>41</v>
      </c>
      <c r="D37" s="37">
        <v>15.0</v>
      </c>
      <c r="E37" s="10">
        <v>25.0</v>
      </c>
      <c r="F37" s="10"/>
      <c r="G37" s="10">
        <f>G36*D37/100</f>
        <v>0</v>
      </c>
      <c r="H37" s="10">
        <f>H36*D37/100</f>
        <v>0</v>
      </c>
      <c r="I37" s="10">
        <f>I36*D37/100</f>
        <v>0</v>
      </c>
      <c r="J37" s="10">
        <f>J36*D37/100</f>
        <v>0</v>
      </c>
      <c r="K37" s="10">
        <f>K36*D37/100</f>
        <v>0</v>
      </c>
      <c r="L37" s="10">
        <f>L36*D37/100</f>
        <v>0</v>
      </c>
      <c r="M37" s="10">
        <f>M36*D37/100</f>
        <v>0</v>
      </c>
      <c r="N37" s="10">
        <f>N36*D37/100</f>
        <v>0</v>
      </c>
      <c r="O37" s="10">
        <f>O36*D37/100</f>
        <v>0</v>
      </c>
      <c r="P37" s="10">
        <f>P36*D37/100</f>
        <v>0</v>
      </c>
      <c r="Q37" s="10">
        <f>Q36*D37/100</f>
        <v>0</v>
      </c>
      <c r="R37" s="10">
        <f>R36*D37/100</f>
        <v>0</v>
      </c>
      <c r="S37" s="10">
        <f>S36*D37/100</f>
        <v>0</v>
      </c>
      <c r="T37" s="10">
        <f>T36*D37/100</f>
        <v>0</v>
      </c>
      <c r="U37" s="10">
        <f>U36*D37/100</f>
        <v>0</v>
      </c>
      <c r="V37" s="10">
        <f>V36*D37/100</f>
        <v>0</v>
      </c>
      <c r="W37" s="35">
        <f>+W36*D37/100</f>
        <v>0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ht="13.5" customHeight="1">
      <c r="A38" s="38" t="s">
        <v>42</v>
      </c>
      <c r="B38" s="21" t="s">
        <v>43</v>
      </c>
      <c r="C38" s="21" t="s">
        <v>44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35">
        <f>+W36+W37</f>
        <v>0</v>
      </c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ht="13.5" customHeight="1">
      <c r="A39" s="36" t="s">
        <v>45</v>
      </c>
      <c r="B39" s="21" t="s">
        <v>46</v>
      </c>
      <c r="C39" s="21" t="s">
        <v>47</v>
      </c>
      <c r="D39" s="37">
        <v>5.0</v>
      </c>
      <c r="E39" s="10">
        <v>12.0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35">
        <f t="shared" ref="W39:W42" si="4">+W$38*D39/100</f>
        <v>0</v>
      </c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ht="13.5" customHeight="1">
      <c r="A40" s="36" t="s">
        <v>48</v>
      </c>
      <c r="B40" s="21" t="s">
        <v>49</v>
      </c>
      <c r="C40" s="21" t="s">
        <v>47</v>
      </c>
      <c r="D40" s="37">
        <v>1.0</v>
      </c>
      <c r="E40" s="10">
        <v>6.0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35">
        <f t="shared" si="4"/>
        <v>0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ht="13.5" customHeight="1">
      <c r="A41" s="36" t="s">
        <v>50</v>
      </c>
      <c r="B41" s="21" t="s">
        <v>51</v>
      </c>
      <c r="C41" s="21" t="s">
        <v>47</v>
      </c>
      <c r="D41" s="37">
        <v>0.0</v>
      </c>
      <c r="E41" s="10">
        <v>3.0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35">
        <f t="shared" si="4"/>
        <v>0</v>
      </c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ht="13.5" customHeight="1">
      <c r="A42" s="36" t="s">
        <v>52</v>
      </c>
      <c r="B42" s="21" t="s">
        <v>53</v>
      </c>
      <c r="C42" s="21" t="s">
        <v>47</v>
      </c>
      <c r="D42" s="37">
        <v>5.0</v>
      </c>
      <c r="E42" s="10">
        <v>9.0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35">
        <f t="shared" si="4"/>
        <v>0</v>
      </c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 ht="13.5" customHeight="1">
      <c r="A43" s="38" t="s">
        <v>54</v>
      </c>
      <c r="B43" s="21" t="s">
        <v>55</v>
      </c>
      <c r="C43" s="10" t="s">
        <v>56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39">
        <f>SUM(W38:W42)</f>
        <v>0</v>
      </c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ht="13.5" customHeight="1">
      <c r="A44" s="19" t="s">
        <v>57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35"/>
      <c r="X44" s="40" t="s">
        <v>58</v>
      </c>
      <c r="Y44" s="40" t="s">
        <v>59</v>
      </c>
      <c r="Z44" s="40" t="s">
        <v>60</v>
      </c>
      <c r="AA44" s="40" t="s">
        <v>61</v>
      </c>
      <c r="AB44" s="41" t="s">
        <v>62</v>
      </c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</row>
    <row r="45" ht="13.5" customHeight="1">
      <c r="A45" s="31" t="s">
        <v>63</v>
      </c>
      <c r="B45" s="10"/>
      <c r="C45" s="21" t="s">
        <v>64</v>
      </c>
      <c r="D45" s="37">
        <v>1.0</v>
      </c>
      <c r="E45" s="10">
        <v>7.0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35">
        <f t="shared" ref="W45:W47" si="5">+W$48/D$48*D45</f>
        <v>0</v>
      </c>
      <c r="X45" s="42">
        <f t="shared" ref="X45:X50" si="6">+W45/8</f>
        <v>0</v>
      </c>
      <c r="Y45" s="20"/>
      <c r="Z45" s="20"/>
      <c r="AA45" s="20"/>
      <c r="AB45" s="43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</row>
    <row r="46" ht="13.5" customHeight="1">
      <c r="A46" s="36" t="s">
        <v>65</v>
      </c>
      <c r="B46" s="10"/>
      <c r="C46" s="10"/>
      <c r="D46" s="37">
        <v>25.0</v>
      </c>
      <c r="E46" s="10">
        <v>13.0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35">
        <f t="shared" si="5"/>
        <v>0</v>
      </c>
      <c r="X46" s="42">
        <f t="shared" si="6"/>
        <v>0</v>
      </c>
      <c r="Y46" s="42">
        <f t="shared" ref="Y46:Y49" si="7">+X46/5</f>
        <v>0</v>
      </c>
      <c r="Z46" s="44">
        <v>2.0</v>
      </c>
      <c r="AA46" s="42">
        <f t="shared" ref="AA46:AA49" si="8">+Y46/Z46</f>
        <v>0</v>
      </c>
      <c r="AB46" s="45">
        <f t="shared" ref="AB46:AB50" si="9">+AA46/4</f>
        <v>0</v>
      </c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</row>
    <row r="47" ht="13.5" customHeight="1">
      <c r="A47" s="36" t="s">
        <v>66</v>
      </c>
      <c r="B47" s="10"/>
      <c r="C47" s="10"/>
      <c r="D47" s="37"/>
      <c r="E47" s="10">
        <v>19.0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35">
        <f t="shared" si="5"/>
        <v>0</v>
      </c>
      <c r="X47" s="42">
        <f t="shared" si="6"/>
        <v>0</v>
      </c>
      <c r="Y47" s="42">
        <f t="shared" si="7"/>
        <v>0</v>
      </c>
      <c r="Z47" s="44">
        <v>2.0</v>
      </c>
      <c r="AA47" s="42">
        <f t="shared" si="8"/>
        <v>0</v>
      </c>
      <c r="AB47" s="45">
        <f t="shared" si="9"/>
        <v>0</v>
      </c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ht="13.5" customHeight="1">
      <c r="A48" s="36" t="s">
        <v>67</v>
      </c>
      <c r="B48" s="10"/>
      <c r="C48" s="10"/>
      <c r="D48" s="37">
        <v>62.0</v>
      </c>
      <c r="E48" s="10">
        <v>38.0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35">
        <f>+W43</f>
        <v>0</v>
      </c>
      <c r="X48" s="42">
        <f t="shared" si="6"/>
        <v>0</v>
      </c>
      <c r="Y48" s="42">
        <f t="shared" si="7"/>
        <v>0</v>
      </c>
      <c r="Z48" s="44">
        <v>2.0</v>
      </c>
      <c r="AA48" s="42">
        <f t="shared" si="8"/>
        <v>0</v>
      </c>
      <c r="AB48" s="45">
        <f t="shared" si="9"/>
        <v>0</v>
      </c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</row>
    <row r="49" ht="13.5" customHeight="1">
      <c r="A49" s="36" t="s">
        <v>68</v>
      </c>
      <c r="B49" s="10"/>
      <c r="C49" s="10"/>
      <c r="D49" s="37">
        <v>2.0</v>
      </c>
      <c r="E49" s="10">
        <v>23.0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35">
        <f>+W$48/D$48*D49</f>
        <v>0</v>
      </c>
      <c r="X49" s="42">
        <f t="shared" si="6"/>
        <v>0</v>
      </c>
      <c r="Y49" s="42">
        <f t="shared" si="7"/>
        <v>0</v>
      </c>
      <c r="Z49" s="44">
        <v>1.0</v>
      </c>
      <c r="AA49" s="42">
        <f t="shared" si="8"/>
        <v>0</v>
      </c>
      <c r="AB49" s="45">
        <f t="shared" si="9"/>
        <v>0</v>
      </c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</row>
    <row r="50" ht="13.5" customHeight="1">
      <c r="A50" s="46" t="s">
        <v>69</v>
      </c>
      <c r="B50" s="47"/>
      <c r="C50" s="47" t="s">
        <v>56</v>
      </c>
      <c r="D50" s="47">
        <f t="shared" ref="D50:E50" si="10">SUM(D45:D49)</f>
        <v>90</v>
      </c>
      <c r="E50" s="47">
        <f t="shared" si="10"/>
        <v>100</v>
      </c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8">
        <f>SUM(W45:W49)</f>
        <v>0</v>
      </c>
      <c r="X50" s="49">
        <f t="shared" si="6"/>
        <v>0</v>
      </c>
      <c r="Y50" s="49"/>
      <c r="Z50" s="50"/>
      <c r="AA50" s="49">
        <f>SUM(AA46:AA49)</f>
        <v>0</v>
      </c>
      <c r="AB50" s="51">
        <f t="shared" si="9"/>
        <v>0</v>
      </c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</row>
    <row r="51" ht="13.5" customHeight="1">
      <c r="A51" s="52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</row>
    <row r="52" ht="13.5" customHeight="1">
      <c r="A52" s="52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</row>
    <row r="53" ht="13.5" customHeight="1">
      <c r="A53" s="52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</row>
    <row r="54" ht="13.5" customHeight="1">
      <c r="A54" s="52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</row>
    <row r="55" ht="13.5" customHeight="1">
      <c r="A55" s="52"/>
      <c r="B55" s="10"/>
      <c r="C55" s="10"/>
      <c r="D55" s="10"/>
      <c r="E55" s="10"/>
      <c r="F55" s="10"/>
      <c r="G55" s="10"/>
      <c r="H55" s="53"/>
      <c r="I55" s="54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</row>
    <row r="56" ht="13.5" customHeight="1">
      <c r="A56" s="52"/>
      <c r="B56" s="10"/>
      <c r="C56" s="10"/>
      <c r="D56" s="10"/>
      <c r="E56" s="10"/>
      <c r="F56" s="10"/>
      <c r="G56" s="10"/>
      <c r="H56" s="54"/>
      <c r="I56" s="53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</row>
    <row r="57" ht="13.5" customHeight="1">
      <c r="A57" s="52"/>
      <c r="B57" s="10"/>
      <c r="C57" s="10"/>
      <c r="D57" s="10"/>
      <c r="E57" s="10"/>
      <c r="F57" s="10"/>
      <c r="G57" s="10"/>
      <c r="H57" s="54"/>
      <c r="I57" s="53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</row>
    <row r="58" ht="13.5" customHeight="1">
      <c r="A58" s="52"/>
      <c r="B58" s="10"/>
      <c r="C58" s="10"/>
      <c r="D58" s="10"/>
      <c r="E58" s="10"/>
      <c r="F58" s="10"/>
      <c r="G58" s="10"/>
      <c r="H58" s="54"/>
      <c r="I58" s="53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</row>
    <row r="59" ht="13.5" customHeight="1">
      <c r="A59" s="52"/>
      <c r="B59" s="10"/>
      <c r="C59" s="10"/>
      <c r="D59" s="10"/>
      <c r="E59" s="10"/>
      <c r="F59" s="10"/>
      <c r="G59" s="10"/>
      <c r="H59" s="54"/>
      <c r="I59" s="53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</row>
    <row r="60" ht="13.5" customHeight="1">
      <c r="A60" s="52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</row>
    <row r="61" ht="13.5" customHeight="1">
      <c r="A61" s="52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</row>
    <row r="62" ht="13.5" customHeight="1">
      <c r="A62" s="52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</row>
    <row r="63" ht="13.5" customHeight="1">
      <c r="A63" s="52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</row>
    <row r="64" ht="13.5" customHeight="1">
      <c r="A64" s="52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</row>
    <row r="65" ht="13.5" customHeight="1">
      <c r="A65" s="52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</row>
    <row r="66" ht="13.5" customHeight="1">
      <c r="A66" s="52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</row>
    <row r="67" ht="13.5" customHeight="1">
      <c r="A67" s="52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</row>
    <row r="68" ht="13.5" customHeight="1">
      <c r="A68" s="52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</row>
    <row r="69" ht="13.5" customHeight="1">
      <c r="A69" s="52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 ht="13.5" customHeight="1">
      <c r="A70" s="52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</row>
    <row r="71" ht="13.5" customHeight="1">
      <c r="A71" s="52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 ht="13.5" customHeight="1">
      <c r="A72" s="52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</row>
    <row r="73" ht="13.5" customHeight="1">
      <c r="A73" s="52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 ht="13.5" customHeight="1">
      <c r="A74" s="52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</row>
    <row r="75" ht="13.5" customHeight="1">
      <c r="A75" s="52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 ht="13.5" customHeight="1">
      <c r="A76" s="52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</row>
    <row r="77" ht="13.5" customHeight="1">
      <c r="A77" s="52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 ht="13.5" customHeight="1">
      <c r="A78" s="52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</row>
    <row r="79" ht="13.5" customHeight="1">
      <c r="A79" s="52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 ht="13.5" customHeight="1">
      <c r="A80" s="52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</row>
    <row r="81" ht="13.5" customHeight="1">
      <c r="A81" s="52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 ht="13.5" customHeight="1">
      <c r="A82" s="52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</row>
    <row r="83" ht="13.5" customHeight="1">
      <c r="A83" s="52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 ht="13.5" customHeight="1">
      <c r="A84" s="52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 ht="13.5" customHeight="1">
      <c r="A85" s="52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ht="13.5" customHeight="1">
      <c r="A86" s="52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 ht="13.5" customHeight="1">
      <c r="A87" s="52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 ht="13.5" customHeight="1">
      <c r="A88" s="52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</row>
    <row r="89" ht="13.5" customHeight="1">
      <c r="A89" s="52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 ht="13.5" customHeight="1">
      <c r="A90" s="52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</row>
    <row r="91" ht="13.5" customHeight="1">
      <c r="A91" s="52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 ht="13.5" customHeight="1">
      <c r="A92" s="52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</row>
    <row r="93" ht="13.5" customHeight="1">
      <c r="A93" s="52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 ht="13.5" customHeight="1">
      <c r="A94" s="52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</row>
    <row r="95" ht="13.5" customHeight="1">
      <c r="A95" s="52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 ht="13.5" customHeight="1">
      <c r="A96" s="52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</row>
    <row r="97" ht="13.5" customHeight="1">
      <c r="A97" s="52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 ht="13.5" customHeight="1">
      <c r="A98" s="52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</row>
    <row r="99" ht="13.5" customHeight="1">
      <c r="A99" s="52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 ht="13.5" customHeight="1">
      <c r="A100" s="52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</row>
    <row r="101" ht="13.5" customHeight="1">
      <c r="A101" s="52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 ht="13.5" customHeight="1">
      <c r="A102" s="52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</row>
    <row r="103" ht="13.5" customHeight="1">
      <c r="A103" s="52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 ht="13.5" customHeight="1">
      <c r="A104" s="52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</row>
    <row r="105" ht="13.5" customHeight="1">
      <c r="A105" s="52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 ht="13.5" customHeight="1">
      <c r="A106" s="52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</row>
    <row r="107" ht="13.5" customHeight="1">
      <c r="A107" s="52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 ht="13.5" customHeight="1">
      <c r="A108" s="52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</row>
    <row r="109" ht="13.5" customHeight="1">
      <c r="A109" s="52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 ht="13.5" customHeight="1">
      <c r="A110" s="52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</row>
    <row r="111" ht="13.5" customHeight="1">
      <c r="A111" s="52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 ht="13.5" customHeight="1">
      <c r="A112" s="52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</row>
    <row r="113" ht="13.5" customHeight="1">
      <c r="A113" s="52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 ht="13.5" customHeight="1">
      <c r="A114" s="52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</row>
    <row r="115" ht="13.5" customHeight="1">
      <c r="A115" s="52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 ht="13.5" customHeight="1">
      <c r="A116" s="52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</row>
    <row r="117" ht="13.5" customHeight="1">
      <c r="A117" s="52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 ht="13.5" customHeight="1">
      <c r="A118" s="52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</row>
    <row r="119" ht="13.5" customHeight="1">
      <c r="A119" s="52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 ht="13.5" customHeight="1">
      <c r="A120" s="52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</row>
    <row r="121" ht="13.5" customHeight="1">
      <c r="A121" s="52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 ht="13.5" customHeight="1">
      <c r="A122" s="52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 ht="13.5" customHeight="1">
      <c r="A123" s="52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 ht="13.5" customHeight="1">
      <c r="A124" s="52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 ht="13.5" customHeight="1">
      <c r="A125" s="52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ht="13.5" customHeight="1">
      <c r="A126" s="52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 ht="13.5" customHeight="1">
      <c r="A127" s="52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ht="13.5" customHeight="1">
      <c r="A128" s="52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 ht="13.5" customHeight="1">
      <c r="A129" s="52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ht="13.5" customHeight="1">
      <c r="A130" s="52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 ht="13.5" customHeight="1">
      <c r="A131" s="52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 ht="13.5" customHeight="1">
      <c r="A132" s="52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 ht="13.5" customHeight="1">
      <c r="A133" s="52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ht="13.5" customHeight="1">
      <c r="A134" s="52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 ht="13.5" customHeight="1">
      <c r="A135" s="52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ht="13.5" customHeight="1">
      <c r="A136" s="52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 ht="13.5" customHeight="1">
      <c r="A137" s="52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ht="13.5" customHeight="1">
      <c r="A138" s="52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 ht="13.5" customHeight="1">
      <c r="A139" s="52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 ht="13.5" customHeight="1">
      <c r="A140" s="52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 ht="13.5" customHeight="1">
      <c r="A141" s="52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 ht="13.5" customHeight="1">
      <c r="A142" s="52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 ht="13.5" customHeight="1">
      <c r="A143" s="52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 ht="13.5" customHeight="1">
      <c r="A144" s="52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</row>
    <row r="145" ht="13.5" customHeight="1">
      <c r="A145" s="52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 ht="13.5" customHeight="1">
      <c r="A146" s="52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</row>
    <row r="147" ht="13.5" customHeight="1">
      <c r="A147" s="52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</row>
    <row r="148" ht="13.5" customHeight="1">
      <c r="A148" s="52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</row>
    <row r="149" ht="13.5" customHeight="1">
      <c r="A149" s="52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 ht="13.5" customHeight="1">
      <c r="A150" s="52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</row>
    <row r="151" ht="13.5" customHeight="1">
      <c r="A151" s="52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 ht="13.5" customHeight="1">
      <c r="A152" s="52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 ht="13.5" customHeight="1">
      <c r="A153" s="52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 ht="13.5" customHeight="1">
      <c r="A154" s="52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 ht="13.5" customHeight="1">
      <c r="A155" s="52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 ht="13.5" customHeight="1">
      <c r="A156" s="52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</row>
    <row r="157" ht="13.5" customHeight="1">
      <c r="A157" s="52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 ht="13.5" customHeight="1">
      <c r="A158" s="52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 ht="13.5" customHeight="1">
      <c r="A159" s="52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 ht="13.5" customHeight="1">
      <c r="A160" s="52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 ht="13.5" customHeight="1">
      <c r="A161" s="52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 ht="13.5" customHeight="1">
      <c r="A162" s="52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 ht="13.5" customHeight="1">
      <c r="A163" s="52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 ht="13.5" customHeight="1">
      <c r="A164" s="52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</row>
    <row r="165" ht="13.5" customHeight="1">
      <c r="A165" s="52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 ht="13.5" customHeight="1">
      <c r="A166" s="52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 ht="13.5" customHeight="1">
      <c r="A167" s="52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ht="13.5" customHeight="1">
      <c r="A168" s="52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ht="13.5" customHeight="1">
      <c r="A169" s="52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ht="13.5" customHeight="1">
      <c r="A170" s="52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ht="13.5" customHeight="1">
      <c r="A171" s="52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ht="13.5" customHeight="1">
      <c r="A172" s="52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 ht="13.5" customHeight="1">
      <c r="A173" s="52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 ht="13.5" customHeight="1">
      <c r="A174" s="52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 ht="13.5" customHeight="1">
      <c r="A175" s="52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 ht="13.5" customHeight="1">
      <c r="A176" s="52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</row>
    <row r="177" ht="13.5" customHeight="1">
      <c r="A177" s="52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  <row r="178" ht="13.5" customHeight="1">
      <c r="A178" s="52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</row>
    <row r="179" ht="13.5" customHeight="1">
      <c r="A179" s="52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 ht="13.5" customHeight="1">
      <c r="A180" s="52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</row>
    <row r="181" ht="13.5" customHeight="1">
      <c r="A181" s="52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 ht="13.5" customHeight="1">
      <c r="A182" s="52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</row>
    <row r="183" ht="13.5" customHeight="1">
      <c r="A183" s="52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 ht="13.5" customHeight="1">
      <c r="A184" s="52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</row>
    <row r="185" ht="13.5" customHeight="1">
      <c r="A185" s="52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 ht="13.5" customHeight="1">
      <c r="A186" s="52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</row>
    <row r="187" ht="13.5" customHeight="1">
      <c r="A187" s="52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 ht="13.5" customHeight="1">
      <c r="A188" s="52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</row>
    <row r="189" ht="13.5" customHeight="1">
      <c r="A189" s="52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 ht="13.5" customHeight="1">
      <c r="A190" s="52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</row>
    <row r="191" ht="13.5" customHeight="1">
      <c r="A191" s="52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 ht="13.5" customHeight="1">
      <c r="A192" s="52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</row>
    <row r="193" ht="13.5" customHeight="1">
      <c r="A193" s="52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 ht="13.5" customHeight="1">
      <c r="A194" s="52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</row>
    <row r="195" ht="13.5" customHeight="1">
      <c r="A195" s="52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 ht="13.5" customHeight="1">
      <c r="A196" s="52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</row>
    <row r="197" ht="13.5" customHeight="1">
      <c r="A197" s="52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 ht="13.5" customHeight="1">
      <c r="A198" s="52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</row>
    <row r="199" ht="13.5" customHeight="1">
      <c r="A199" s="52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 ht="13.5" customHeight="1">
      <c r="A200" s="52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</row>
    <row r="201" ht="13.5" customHeight="1">
      <c r="A201" s="52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</row>
    <row r="202" ht="13.5" customHeight="1">
      <c r="A202" s="52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</row>
    <row r="203" ht="13.5" customHeight="1">
      <c r="A203" s="52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</row>
    <row r="204" ht="13.5" customHeight="1">
      <c r="A204" s="52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</row>
    <row r="205" ht="13.5" customHeight="1">
      <c r="A205" s="52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</row>
    <row r="206" ht="13.5" customHeight="1">
      <c r="A206" s="52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</row>
    <row r="207" ht="13.5" customHeight="1">
      <c r="A207" s="52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</row>
    <row r="208" ht="13.5" customHeight="1">
      <c r="A208" s="52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</row>
    <row r="209" ht="13.5" customHeight="1">
      <c r="A209" s="52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</row>
    <row r="210" ht="13.5" customHeight="1">
      <c r="A210" s="52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</row>
    <row r="211" ht="13.5" customHeight="1">
      <c r="A211" s="52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</row>
    <row r="212" ht="13.5" customHeight="1">
      <c r="A212" s="52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</row>
    <row r="213" ht="13.5" customHeight="1">
      <c r="A213" s="52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</row>
    <row r="214" ht="13.5" customHeight="1">
      <c r="A214" s="52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</row>
    <row r="215" ht="13.5" customHeight="1">
      <c r="A215" s="52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</row>
    <row r="216" ht="13.5" customHeight="1">
      <c r="A216" s="52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</row>
    <row r="217" ht="13.5" customHeight="1">
      <c r="A217" s="52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</row>
    <row r="218" ht="13.5" customHeight="1">
      <c r="A218" s="52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</row>
    <row r="219" ht="13.5" customHeight="1">
      <c r="A219" s="52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</row>
    <row r="220" ht="13.5" customHeight="1">
      <c r="A220" s="52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</row>
    <row r="221" ht="13.5" customHeight="1">
      <c r="A221" s="52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</row>
    <row r="222" ht="13.5" customHeight="1">
      <c r="A222" s="52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</row>
    <row r="223" ht="13.5" customHeight="1">
      <c r="A223" s="52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</row>
    <row r="224" ht="13.5" customHeight="1">
      <c r="A224" s="52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</row>
    <row r="225" ht="13.5" customHeight="1">
      <c r="A225" s="52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</row>
    <row r="226" ht="13.5" customHeight="1">
      <c r="A226" s="52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</row>
    <row r="227" ht="13.5" customHeight="1">
      <c r="A227" s="52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</row>
    <row r="228" ht="13.5" customHeight="1">
      <c r="A228" s="52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</row>
    <row r="229" ht="13.5" customHeight="1">
      <c r="A229" s="52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 ht="13.5" customHeight="1">
      <c r="A230" s="52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</row>
    <row r="231" ht="13.5" customHeight="1">
      <c r="A231" s="52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 ht="13.5" customHeight="1">
      <c r="A232" s="52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</row>
    <row r="233" ht="13.5" customHeight="1">
      <c r="A233" s="52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 ht="13.5" customHeight="1">
      <c r="A234" s="52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</row>
    <row r="235" ht="13.5" customHeight="1">
      <c r="A235" s="52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 ht="13.5" customHeight="1">
      <c r="A236" s="52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ht="13.5" customHeight="1">
      <c r="A237" s="52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ht="13.5" customHeight="1">
      <c r="A238" s="52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ht="13.5" customHeight="1">
      <c r="A239" s="52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ht="13.5" customHeight="1">
      <c r="A240" s="52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</row>
    <row r="241" ht="13.5" customHeight="1">
      <c r="A241" s="52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 ht="13.5" customHeight="1">
      <c r="A242" s="52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</row>
    <row r="243" ht="13.5" customHeight="1">
      <c r="A243" s="52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 ht="13.5" customHeight="1">
      <c r="A244" s="52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</row>
    <row r="245" ht="13.5" customHeight="1">
      <c r="A245" s="52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 ht="13.5" customHeight="1">
      <c r="A246" s="52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</row>
    <row r="247" ht="13.5" customHeight="1">
      <c r="A247" s="52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 ht="13.5" customHeight="1">
      <c r="A248" s="52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</row>
    <row r="249" ht="13.5" customHeight="1">
      <c r="A249" s="52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 ht="13.5" customHeight="1">
      <c r="A250" s="52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</row>
    <row r="251" ht="13.5" customHeight="1">
      <c r="A251" s="55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</row>
    <row r="252" ht="13.5" customHeight="1">
      <c r="A252" s="55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</row>
    <row r="253" ht="13.5" customHeight="1">
      <c r="A253" s="55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</row>
    <row r="254" ht="13.5" customHeight="1">
      <c r="A254" s="55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</row>
    <row r="255" ht="13.5" customHeight="1">
      <c r="A255" s="55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</row>
    <row r="256" ht="13.5" customHeight="1">
      <c r="A256" s="55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</row>
    <row r="257" ht="13.5" customHeight="1">
      <c r="A257" s="55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</row>
    <row r="258" ht="13.5" customHeight="1">
      <c r="A258" s="55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</row>
    <row r="259" ht="13.5" customHeight="1">
      <c r="A259" s="55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</row>
    <row r="260" ht="13.5" customHeight="1">
      <c r="A260" s="55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</row>
    <row r="261" ht="13.5" customHeight="1">
      <c r="A261" s="55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</row>
    <row r="262" ht="13.5" customHeight="1">
      <c r="A262" s="55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</row>
    <row r="263" ht="13.5" customHeight="1">
      <c r="A263" s="55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</row>
    <row r="264" ht="13.5" customHeight="1">
      <c r="A264" s="55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</row>
    <row r="265" ht="13.5" customHeight="1">
      <c r="A265" s="55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</row>
    <row r="266" ht="13.5" customHeight="1">
      <c r="A266" s="55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</row>
    <row r="267" ht="13.5" customHeight="1">
      <c r="A267" s="55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</row>
    <row r="268" ht="13.5" customHeight="1">
      <c r="A268" s="55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</row>
    <row r="269" ht="13.5" customHeight="1">
      <c r="A269" s="55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</row>
    <row r="270" ht="13.5" customHeight="1">
      <c r="A270" s="55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</row>
    <row r="271" ht="13.5" customHeight="1">
      <c r="A271" s="55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</row>
    <row r="272" ht="13.5" customHeight="1">
      <c r="A272" s="55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</row>
    <row r="273" ht="13.5" customHeight="1">
      <c r="A273" s="55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</row>
    <row r="274" ht="13.5" customHeight="1">
      <c r="A274" s="55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</row>
    <row r="275" ht="13.5" customHeight="1">
      <c r="A275" s="55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</row>
    <row r="276" ht="13.5" customHeight="1">
      <c r="A276" s="55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</row>
    <row r="277" ht="13.5" customHeight="1">
      <c r="A277" s="55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</row>
    <row r="278" ht="13.5" customHeight="1">
      <c r="A278" s="55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</row>
    <row r="279" ht="13.5" customHeight="1">
      <c r="A279" s="55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</row>
    <row r="280" ht="13.5" customHeight="1">
      <c r="A280" s="55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</row>
    <row r="281" ht="13.5" customHeight="1">
      <c r="A281" s="55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</row>
    <row r="282" ht="13.5" customHeight="1">
      <c r="A282" s="55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</row>
    <row r="283" ht="13.5" customHeight="1">
      <c r="A283" s="55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</row>
    <row r="284" ht="13.5" customHeight="1">
      <c r="A284" s="55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</row>
    <row r="285" ht="13.5" customHeight="1">
      <c r="A285" s="55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</row>
    <row r="286" ht="13.5" customHeight="1">
      <c r="A286" s="55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</row>
    <row r="287" ht="13.5" customHeight="1">
      <c r="A287" s="55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</row>
    <row r="288" ht="13.5" customHeight="1">
      <c r="A288" s="55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</row>
    <row r="289" ht="13.5" customHeight="1">
      <c r="A289" s="55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</row>
    <row r="290" ht="13.5" customHeight="1">
      <c r="A290" s="55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</row>
    <row r="291" ht="13.5" customHeight="1">
      <c r="A291" s="55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</row>
    <row r="292" ht="13.5" customHeight="1">
      <c r="A292" s="55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</row>
    <row r="293" ht="13.5" customHeight="1">
      <c r="A293" s="55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</row>
    <row r="294" ht="13.5" customHeight="1">
      <c r="A294" s="55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</row>
    <row r="295" ht="13.5" customHeight="1">
      <c r="A295" s="55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</row>
    <row r="296" ht="13.5" customHeight="1">
      <c r="A296" s="55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</row>
    <row r="297" ht="13.5" customHeight="1">
      <c r="A297" s="55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</row>
    <row r="298" ht="13.5" customHeight="1">
      <c r="A298" s="55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</row>
    <row r="299" ht="13.5" customHeight="1">
      <c r="A299" s="55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</row>
    <row r="300" ht="13.5" customHeight="1">
      <c r="A300" s="55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</row>
    <row r="301" ht="13.5" customHeight="1">
      <c r="A301" s="55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</row>
    <row r="302" ht="13.5" customHeight="1">
      <c r="A302" s="55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</row>
    <row r="303" ht="13.5" customHeight="1">
      <c r="A303" s="55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</row>
    <row r="304" ht="13.5" customHeight="1">
      <c r="A304" s="55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</row>
    <row r="305" ht="13.5" customHeight="1">
      <c r="A305" s="55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</row>
    <row r="306" ht="13.5" customHeight="1">
      <c r="A306" s="55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</row>
    <row r="307" ht="13.5" customHeight="1">
      <c r="A307" s="55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</row>
    <row r="308" ht="13.5" customHeight="1">
      <c r="A308" s="55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</row>
    <row r="309" ht="13.5" customHeight="1">
      <c r="A309" s="55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</row>
    <row r="310" ht="13.5" customHeight="1">
      <c r="A310" s="55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</row>
    <row r="311" ht="13.5" customHeight="1">
      <c r="A311" s="55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</row>
    <row r="312" ht="13.5" customHeight="1">
      <c r="A312" s="55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</row>
    <row r="313" ht="13.5" customHeight="1">
      <c r="A313" s="55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</row>
    <row r="314" ht="13.5" customHeight="1">
      <c r="A314" s="55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</row>
    <row r="315" ht="13.5" customHeight="1">
      <c r="A315" s="55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</row>
    <row r="316" ht="13.5" customHeight="1">
      <c r="A316" s="55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</row>
    <row r="317" ht="13.5" customHeight="1">
      <c r="A317" s="55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</row>
    <row r="318" ht="13.5" customHeight="1">
      <c r="A318" s="55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</row>
    <row r="319" ht="13.5" customHeight="1">
      <c r="A319" s="55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</row>
    <row r="320" ht="13.5" customHeight="1">
      <c r="A320" s="55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</row>
    <row r="321" ht="13.5" customHeight="1">
      <c r="A321" s="55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</row>
    <row r="322" ht="13.5" customHeight="1">
      <c r="A322" s="55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</row>
    <row r="323" ht="13.5" customHeight="1">
      <c r="A323" s="55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</row>
    <row r="324" ht="13.5" customHeight="1">
      <c r="A324" s="55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</row>
    <row r="325" ht="13.5" customHeight="1">
      <c r="A325" s="55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</row>
    <row r="326" ht="13.5" customHeight="1">
      <c r="A326" s="55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</row>
    <row r="327" ht="13.5" customHeight="1">
      <c r="A327" s="55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</row>
    <row r="328" ht="13.5" customHeight="1">
      <c r="A328" s="55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</row>
    <row r="329" ht="13.5" customHeight="1">
      <c r="A329" s="55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</row>
    <row r="330" ht="13.5" customHeight="1">
      <c r="A330" s="55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</row>
    <row r="331" ht="13.5" customHeight="1">
      <c r="A331" s="55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</row>
    <row r="332" ht="13.5" customHeight="1">
      <c r="A332" s="55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</row>
    <row r="333" ht="13.5" customHeight="1">
      <c r="A333" s="55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</row>
    <row r="334" ht="13.5" customHeight="1">
      <c r="A334" s="55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</row>
    <row r="335" ht="13.5" customHeight="1">
      <c r="A335" s="55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</row>
    <row r="336" ht="13.5" customHeight="1">
      <c r="A336" s="55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</row>
    <row r="337" ht="13.5" customHeight="1">
      <c r="A337" s="55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</row>
    <row r="338" ht="13.5" customHeight="1">
      <c r="A338" s="55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</row>
    <row r="339" ht="13.5" customHeight="1">
      <c r="A339" s="55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</row>
    <row r="340" ht="13.5" customHeight="1">
      <c r="A340" s="55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</row>
    <row r="341" ht="13.5" customHeight="1">
      <c r="A341" s="55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</row>
    <row r="342" ht="13.5" customHeight="1">
      <c r="A342" s="55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</row>
    <row r="343" ht="13.5" customHeight="1">
      <c r="A343" s="55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</row>
    <row r="344" ht="13.5" customHeight="1">
      <c r="A344" s="55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</row>
    <row r="345" ht="13.5" customHeight="1">
      <c r="A345" s="55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</row>
    <row r="346" ht="13.5" customHeight="1">
      <c r="A346" s="55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</row>
    <row r="347" ht="13.5" customHeight="1">
      <c r="A347" s="55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</row>
    <row r="348" ht="13.5" customHeight="1">
      <c r="A348" s="55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</row>
    <row r="349" ht="13.5" customHeight="1">
      <c r="A349" s="55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</row>
    <row r="350" ht="13.5" customHeight="1">
      <c r="A350" s="55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</row>
    <row r="351" ht="13.5" customHeight="1">
      <c r="A351" s="55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</row>
    <row r="352" ht="13.5" customHeight="1">
      <c r="A352" s="55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</row>
    <row r="353" ht="13.5" customHeight="1">
      <c r="A353" s="55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</row>
    <row r="354" ht="13.5" customHeight="1">
      <c r="A354" s="55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</row>
    <row r="355" ht="13.5" customHeight="1">
      <c r="A355" s="55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</row>
    <row r="356" ht="13.5" customHeight="1">
      <c r="A356" s="55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</row>
    <row r="357" ht="13.5" customHeight="1">
      <c r="A357" s="55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</row>
    <row r="358" ht="13.5" customHeight="1">
      <c r="A358" s="55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</row>
    <row r="359" ht="13.5" customHeight="1">
      <c r="A359" s="55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</row>
    <row r="360" ht="13.5" customHeight="1">
      <c r="A360" s="55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</row>
    <row r="361" ht="13.5" customHeight="1">
      <c r="A361" s="55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</row>
    <row r="362" ht="13.5" customHeight="1">
      <c r="A362" s="55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</row>
    <row r="363" ht="13.5" customHeight="1">
      <c r="A363" s="55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</row>
    <row r="364" ht="13.5" customHeight="1">
      <c r="A364" s="55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</row>
    <row r="365" ht="13.5" customHeight="1">
      <c r="A365" s="55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</row>
    <row r="366" ht="13.5" customHeight="1">
      <c r="A366" s="55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</row>
    <row r="367" ht="13.5" customHeight="1">
      <c r="A367" s="55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</row>
    <row r="368" ht="13.5" customHeight="1">
      <c r="A368" s="55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</row>
    <row r="369" ht="13.5" customHeight="1">
      <c r="A369" s="55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</row>
    <row r="370" ht="13.5" customHeight="1">
      <c r="A370" s="55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</row>
    <row r="371" ht="13.5" customHeight="1">
      <c r="A371" s="55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</row>
    <row r="372" ht="13.5" customHeight="1">
      <c r="A372" s="55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</row>
    <row r="373" ht="13.5" customHeight="1">
      <c r="A373" s="55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</row>
    <row r="374" ht="13.5" customHeight="1">
      <c r="A374" s="55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</row>
    <row r="375" ht="13.5" customHeight="1">
      <c r="A375" s="55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</row>
    <row r="376" ht="13.5" customHeight="1">
      <c r="A376" s="55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</row>
    <row r="377" ht="13.5" customHeight="1">
      <c r="A377" s="55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</row>
    <row r="378" ht="13.5" customHeight="1">
      <c r="A378" s="55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</row>
    <row r="379" ht="13.5" customHeight="1">
      <c r="A379" s="55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</row>
    <row r="380" ht="13.5" customHeight="1">
      <c r="A380" s="55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</row>
    <row r="381" ht="13.5" customHeight="1">
      <c r="A381" s="55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</row>
    <row r="382" ht="13.5" customHeight="1">
      <c r="A382" s="55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</row>
    <row r="383" ht="13.5" customHeight="1">
      <c r="A383" s="55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</row>
    <row r="384" ht="13.5" customHeight="1">
      <c r="A384" s="55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</row>
    <row r="385" ht="13.5" customHeight="1">
      <c r="A385" s="55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</row>
    <row r="386" ht="13.5" customHeight="1">
      <c r="A386" s="55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</row>
    <row r="387" ht="13.5" customHeight="1">
      <c r="A387" s="55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</row>
    <row r="388" ht="13.5" customHeight="1">
      <c r="A388" s="55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</row>
    <row r="389" ht="13.5" customHeight="1">
      <c r="A389" s="55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</row>
    <row r="390" ht="13.5" customHeight="1">
      <c r="A390" s="55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</row>
    <row r="391" ht="13.5" customHeight="1">
      <c r="A391" s="55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</row>
    <row r="392" ht="13.5" customHeight="1">
      <c r="A392" s="55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</row>
    <row r="393" ht="13.5" customHeight="1">
      <c r="A393" s="55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</row>
    <row r="394" ht="13.5" customHeight="1">
      <c r="A394" s="55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</row>
    <row r="395" ht="13.5" customHeight="1">
      <c r="A395" s="55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</row>
    <row r="396" ht="13.5" customHeight="1">
      <c r="A396" s="55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</row>
    <row r="397" ht="13.5" customHeight="1">
      <c r="A397" s="55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</row>
    <row r="398" ht="13.5" customHeight="1">
      <c r="A398" s="55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</row>
    <row r="399" ht="13.5" customHeight="1">
      <c r="A399" s="55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</row>
    <row r="400" ht="13.5" customHeight="1">
      <c r="A400" s="55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</row>
    <row r="401" ht="13.5" customHeight="1">
      <c r="A401" s="55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</row>
    <row r="402" ht="13.5" customHeight="1">
      <c r="A402" s="55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</row>
    <row r="403" ht="13.5" customHeight="1">
      <c r="A403" s="55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</row>
    <row r="404" ht="13.5" customHeight="1">
      <c r="A404" s="55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</row>
    <row r="405" ht="13.5" customHeight="1">
      <c r="A405" s="55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</row>
    <row r="406" ht="13.5" customHeight="1">
      <c r="A406" s="55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</row>
    <row r="407" ht="13.5" customHeight="1">
      <c r="A407" s="55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</row>
    <row r="408" ht="13.5" customHeight="1">
      <c r="A408" s="55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</row>
    <row r="409" ht="13.5" customHeight="1">
      <c r="A409" s="55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</row>
    <row r="410" ht="13.5" customHeight="1">
      <c r="A410" s="55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</row>
    <row r="411" ht="13.5" customHeight="1">
      <c r="A411" s="55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</row>
    <row r="412" ht="13.5" customHeight="1">
      <c r="A412" s="55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</row>
    <row r="413" ht="13.5" customHeight="1">
      <c r="A413" s="55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</row>
    <row r="414" ht="13.5" customHeight="1">
      <c r="A414" s="55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</row>
    <row r="415" ht="13.5" customHeight="1">
      <c r="A415" s="55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</row>
    <row r="416" ht="13.5" customHeight="1">
      <c r="A416" s="55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</row>
    <row r="417" ht="13.5" customHeight="1">
      <c r="A417" s="55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</row>
    <row r="418" ht="13.5" customHeight="1">
      <c r="A418" s="55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</row>
    <row r="419" ht="13.5" customHeight="1">
      <c r="A419" s="55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</row>
    <row r="420" ht="13.5" customHeight="1">
      <c r="A420" s="55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</row>
    <row r="421" ht="13.5" customHeight="1">
      <c r="A421" s="55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</row>
    <row r="422" ht="13.5" customHeight="1">
      <c r="A422" s="55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</row>
    <row r="423" ht="13.5" customHeight="1">
      <c r="A423" s="55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</row>
    <row r="424" ht="13.5" customHeight="1">
      <c r="A424" s="55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</row>
    <row r="425" ht="13.5" customHeight="1">
      <c r="A425" s="55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</row>
    <row r="426" ht="13.5" customHeight="1">
      <c r="A426" s="55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</row>
    <row r="427" ht="13.5" customHeight="1">
      <c r="A427" s="55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</row>
    <row r="428" ht="13.5" customHeight="1">
      <c r="A428" s="55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</row>
    <row r="429" ht="13.5" customHeight="1">
      <c r="A429" s="55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</row>
    <row r="430" ht="13.5" customHeight="1">
      <c r="A430" s="55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</row>
    <row r="431" ht="13.5" customHeight="1">
      <c r="A431" s="55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</row>
    <row r="432" ht="13.5" customHeight="1">
      <c r="A432" s="55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</row>
    <row r="433" ht="13.5" customHeight="1">
      <c r="A433" s="55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</row>
    <row r="434" ht="13.5" customHeight="1">
      <c r="A434" s="55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</row>
    <row r="435" ht="13.5" customHeight="1">
      <c r="A435" s="55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</row>
    <row r="436" ht="13.5" customHeight="1">
      <c r="A436" s="55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</row>
    <row r="437" ht="13.5" customHeight="1">
      <c r="A437" s="55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</row>
    <row r="438" ht="13.5" customHeight="1">
      <c r="A438" s="55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</row>
    <row r="439" ht="13.5" customHeight="1">
      <c r="A439" s="55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</row>
    <row r="440" ht="13.5" customHeight="1">
      <c r="A440" s="55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</row>
    <row r="441" ht="13.5" customHeight="1">
      <c r="A441" s="55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</row>
    <row r="442" ht="13.5" customHeight="1">
      <c r="A442" s="55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</row>
    <row r="443" ht="13.5" customHeight="1">
      <c r="A443" s="55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</row>
    <row r="444" ht="13.5" customHeight="1">
      <c r="A444" s="55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</row>
    <row r="445" ht="13.5" customHeight="1">
      <c r="A445" s="55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</row>
    <row r="446" ht="13.5" customHeight="1">
      <c r="A446" s="55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</row>
    <row r="447" ht="13.5" customHeight="1">
      <c r="A447" s="55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</row>
    <row r="448" ht="13.5" customHeight="1">
      <c r="A448" s="55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</row>
    <row r="449" ht="13.5" customHeight="1">
      <c r="A449" s="55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</row>
    <row r="450" ht="13.5" customHeight="1">
      <c r="A450" s="55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</row>
    <row r="451" ht="13.5" customHeight="1">
      <c r="A451" s="55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</row>
    <row r="452" ht="13.5" customHeight="1">
      <c r="A452" s="55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</row>
    <row r="453" ht="13.5" customHeight="1">
      <c r="A453" s="55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</row>
    <row r="454" ht="13.5" customHeight="1">
      <c r="A454" s="55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</row>
    <row r="455" ht="13.5" customHeight="1">
      <c r="A455" s="55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</row>
    <row r="456" ht="13.5" customHeight="1">
      <c r="A456" s="55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</row>
    <row r="457" ht="13.5" customHeight="1">
      <c r="A457" s="55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</row>
    <row r="458" ht="13.5" customHeight="1">
      <c r="A458" s="55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</row>
    <row r="459" ht="13.5" customHeight="1">
      <c r="A459" s="55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</row>
    <row r="460" ht="13.5" customHeight="1">
      <c r="A460" s="55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</row>
    <row r="461" ht="13.5" customHeight="1">
      <c r="A461" s="55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</row>
    <row r="462" ht="13.5" customHeight="1">
      <c r="A462" s="55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</row>
    <row r="463" ht="13.5" customHeight="1">
      <c r="A463" s="55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</row>
    <row r="464" ht="13.5" customHeight="1">
      <c r="A464" s="55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</row>
    <row r="465" ht="13.5" customHeight="1">
      <c r="A465" s="55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</row>
    <row r="466" ht="13.5" customHeight="1">
      <c r="A466" s="55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</row>
    <row r="467" ht="13.5" customHeight="1">
      <c r="A467" s="55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</row>
    <row r="468" ht="13.5" customHeight="1">
      <c r="A468" s="55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</row>
    <row r="469" ht="13.5" customHeight="1">
      <c r="A469" s="55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</row>
    <row r="470" ht="13.5" customHeight="1">
      <c r="A470" s="55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</row>
    <row r="471" ht="13.5" customHeight="1">
      <c r="A471" s="55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</row>
    <row r="472" ht="13.5" customHeight="1">
      <c r="A472" s="55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</row>
    <row r="473" ht="13.5" customHeight="1">
      <c r="A473" s="55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</row>
    <row r="474" ht="13.5" customHeight="1">
      <c r="A474" s="55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</row>
    <row r="475" ht="13.5" customHeight="1">
      <c r="A475" s="55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</row>
    <row r="476" ht="13.5" customHeight="1">
      <c r="A476" s="55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</row>
    <row r="477" ht="13.5" customHeight="1">
      <c r="A477" s="55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</row>
    <row r="478" ht="13.5" customHeight="1">
      <c r="A478" s="55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</row>
    <row r="479" ht="13.5" customHeight="1">
      <c r="A479" s="55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</row>
    <row r="480" ht="13.5" customHeight="1">
      <c r="A480" s="55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</row>
    <row r="481" ht="13.5" customHeight="1">
      <c r="A481" s="55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</row>
    <row r="482" ht="13.5" customHeight="1">
      <c r="A482" s="55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</row>
    <row r="483" ht="13.5" customHeight="1">
      <c r="A483" s="55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</row>
    <row r="484" ht="13.5" customHeight="1">
      <c r="A484" s="55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</row>
    <row r="485" ht="13.5" customHeight="1">
      <c r="A485" s="55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</row>
    <row r="486" ht="13.5" customHeight="1">
      <c r="A486" s="55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</row>
    <row r="487" ht="13.5" customHeight="1">
      <c r="A487" s="55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</row>
    <row r="488" ht="13.5" customHeight="1">
      <c r="A488" s="55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</row>
    <row r="489" ht="13.5" customHeight="1">
      <c r="A489" s="55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</row>
    <row r="490" ht="13.5" customHeight="1">
      <c r="A490" s="55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</row>
    <row r="491" ht="13.5" customHeight="1">
      <c r="A491" s="55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</row>
    <row r="492" ht="13.5" customHeight="1">
      <c r="A492" s="55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</row>
    <row r="493" ht="13.5" customHeight="1">
      <c r="A493" s="55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</row>
    <row r="494" ht="13.5" customHeight="1">
      <c r="A494" s="55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</row>
    <row r="495" ht="13.5" customHeight="1">
      <c r="A495" s="55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</row>
    <row r="496" ht="13.5" customHeight="1">
      <c r="A496" s="55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</row>
    <row r="497" ht="13.5" customHeight="1">
      <c r="A497" s="55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</row>
    <row r="498" ht="13.5" customHeight="1">
      <c r="A498" s="55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</row>
    <row r="499" ht="13.5" customHeight="1">
      <c r="A499" s="55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</row>
    <row r="500" ht="13.5" customHeight="1">
      <c r="A500" s="55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</row>
    <row r="501" ht="13.5" customHeight="1">
      <c r="A501" s="55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</row>
    <row r="502" ht="13.5" customHeight="1">
      <c r="A502" s="55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</row>
    <row r="503" ht="13.5" customHeight="1">
      <c r="A503" s="55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</row>
    <row r="504" ht="13.5" customHeight="1">
      <c r="A504" s="55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</row>
    <row r="505" ht="13.5" customHeight="1">
      <c r="A505" s="55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</row>
    <row r="506" ht="13.5" customHeight="1">
      <c r="A506" s="55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</row>
    <row r="507" ht="13.5" customHeight="1">
      <c r="A507" s="55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</row>
    <row r="508" ht="13.5" customHeight="1">
      <c r="A508" s="55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</row>
    <row r="509" ht="13.5" customHeight="1">
      <c r="A509" s="55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</row>
    <row r="510" ht="13.5" customHeight="1">
      <c r="A510" s="55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</row>
    <row r="511" ht="13.5" customHeight="1">
      <c r="A511" s="55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</row>
    <row r="512" ht="13.5" customHeight="1">
      <c r="A512" s="55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</row>
    <row r="513" ht="13.5" customHeight="1">
      <c r="A513" s="55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</row>
    <row r="514" ht="13.5" customHeight="1">
      <c r="A514" s="55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</row>
    <row r="515" ht="13.5" customHeight="1">
      <c r="A515" s="55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</row>
    <row r="516" ht="13.5" customHeight="1">
      <c r="A516" s="55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</row>
    <row r="517" ht="13.5" customHeight="1">
      <c r="A517" s="55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</row>
    <row r="518" ht="13.5" customHeight="1">
      <c r="A518" s="55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</row>
    <row r="519" ht="13.5" customHeight="1">
      <c r="A519" s="55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</row>
    <row r="520" ht="13.5" customHeight="1">
      <c r="A520" s="55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</row>
    <row r="521" ht="13.5" customHeight="1">
      <c r="A521" s="55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</row>
    <row r="522" ht="13.5" customHeight="1">
      <c r="A522" s="55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</row>
    <row r="523" ht="13.5" customHeight="1">
      <c r="A523" s="55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</row>
    <row r="524" ht="13.5" customHeight="1">
      <c r="A524" s="55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</row>
    <row r="525" ht="13.5" customHeight="1">
      <c r="A525" s="55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</row>
    <row r="526" ht="13.5" customHeight="1">
      <c r="A526" s="55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</row>
    <row r="527" ht="13.5" customHeight="1">
      <c r="A527" s="55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</row>
    <row r="528" ht="13.5" customHeight="1">
      <c r="A528" s="55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</row>
    <row r="529" ht="13.5" customHeight="1">
      <c r="A529" s="55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</row>
    <row r="530" ht="13.5" customHeight="1">
      <c r="A530" s="55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</row>
    <row r="531" ht="13.5" customHeight="1">
      <c r="A531" s="55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</row>
    <row r="532" ht="13.5" customHeight="1">
      <c r="A532" s="55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</row>
    <row r="533" ht="13.5" customHeight="1">
      <c r="A533" s="55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</row>
    <row r="534" ht="13.5" customHeight="1">
      <c r="A534" s="55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</row>
    <row r="535" ht="13.5" customHeight="1">
      <c r="A535" s="55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</row>
    <row r="536" ht="13.5" customHeight="1">
      <c r="A536" s="55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</row>
    <row r="537" ht="13.5" customHeight="1">
      <c r="A537" s="55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</row>
    <row r="538" ht="13.5" customHeight="1">
      <c r="A538" s="55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</row>
    <row r="539" ht="13.5" customHeight="1">
      <c r="A539" s="55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</row>
    <row r="540" ht="13.5" customHeight="1">
      <c r="A540" s="55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</row>
    <row r="541" ht="13.5" customHeight="1">
      <c r="A541" s="55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</row>
    <row r="542" ht="13.5" customHeight="1">
      <c r="A542" s="55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</row>
    <row r="543" ht="13.5" customHeight="1">
      <c r="A543" s="55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</row>
    <row r="544" ht="13.5" customHeight="1">
      <c r="A544" s="55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</row>
    <row r="545" ht="13.5" customHeight="1">
      <c r="A545" s="55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</row>
    <row r="546" ht="13.5" customHeight="1">
      <c r="A546" s="55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</row>
    <row r="547" ht="13.5" customHeight="1">
      <c r="A547" s="55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</row>
    <row r="548" ht="13.5" customHeight="1">
      <c r="A548" s="55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</row>
    <row r="549" ht="13.5" customHeight="1">
      <c r="A549" s="55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</row>
    <row r="550" ht="13.5" customHeight="1">
      <c r="A550" s="55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</row>
    <row r="551" ht="13.5" customHeight="1">
      <c r="A551" s="55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</row>
    <row r="552" ht="13.5" customHeight="1">
      <c r="A552" s="55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</row>
    <row r="553" ht="13.5" customHeight="1">
      <c r="A553" s="55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</row>
    <row r="554" ht="13.5" customHeight="1">
      <c r="A554" s="55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</row>
    <row r="555" ht="13.5" customHeight="1">
      <c r="A555" s="55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</row>
    <row r="556" ht="13.5" customHeight="1">
      <c r="A556" s="55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</row>
    <row r="557" ht="13.5" customHeight="1">
      <c r="A557" s="55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</row>
    <row r="558" ht="13.5" customHeight="1">
      <c r="A558" s="55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</row>
    <row r="559" ht="13.5" customHeight="1">
      <c r="A559" s="55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</row>
    <row r="560" ht="13.5" customHeight="1">
      <c r="A560" s="55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</row>
    <row r="561" ht="13.5" customHeight="1">
      <c r="A561" s="55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</row>
    <row r="562" ht="13.5" customHeight="1">
      <c r="A562" s="55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</row>
    <row r="563" ht="13.5" customHeight="1">
      <c r="A563" s="55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</row>
    <row r="564" ht="13.5" customHeight="1">
      <c r="A564" s="55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</row>
    <row r="565" ht="13.5" customHeight="1">
      <c r="A565" s="55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</row>
    <row r="566" ht="13.5" customHeight="1">
      <c r="A566" s="55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</row>
    <row r="567" ht="13.5" customHeight="1">
      <c r="A567" s="55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</row>
    <row r="568" ht="13.5" customHeight="1">
      <c r="A568" s="55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</row>
    <row r="569" ht="13.5" customHeight="1">
      <c r="A569" s="55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</row>
    <row r="570" ht="13.5" customHeight="1">
      <c r="A570" s="55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</row>
    <row r="571" ht="13.5" customHeight="1">
      <c r="A571" s="55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</row>
    <row r="572" ht="13.5" customHeight="1">
      <c r="A572" s="55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</row>
    <row r="573" ht="13.5" customHeight="1">
      <c r="A573" s="55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</row>
    <row r="574" ht="13.5" customHeight="1">
      <c r="A574" s="55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</row>
    <row r="575" ht="13.5" customHeight="1">
      <c r="A575" s="55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</row>
    <row r="576" ht="13.5" customHeight="1">
      <c r="A576" s="55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</row>
    <row r="577" ht="13.5" customHeight="1">
      <c r="A577" s="55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</row>
    <row r="578" ht="13.5" customHeight="1">
      <c r="A578" s="55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</row>
    <row r="579" ht="13.5" customHeight="1">
      <c r="A579" s="55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</row>
    <row r="580" ht="13.5" customHeight="1">
      <c r="A580" s="55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</row>
    <row r="581" ht="13.5" customHeight="1">
      <c r="A581" s="55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</row>
    <row r="582" ht="13.5" customHeight="1">
      <c r="A582" s="55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</row>
    <row r="583" ht="13.5" customHeight="1">
      <c r="A583" s="55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</row>
    <row r="584" ht="13.5" customHeight="1">
      <c r="A584" s="55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</row>
    <row r="585" ht="13.5" customHeight="1">
      <c r="A585" s="55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</row>
    <row r="586" ht="13.5" customHeight="1">
      <c r="A586" s="55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</row>
    <row r="587" ht="13.5" customHeight="1">
      <c r="A587" s="55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</row>
    <row r="588" ht="13.5" customHeight="1">
      <c r="A588" s="55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</row>
    <row r="589" ht="13.5" customHeight="1">
      <c r="A589" s="55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</row>
    <row r="590" ht="13.5" customHeight="1">
      <c r="A590" s="55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</row>
    <row r="591" ht="13.5" customHeight="1">
      <c r="A591" s="55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</row>
    <row r="592" ht="13.5" customHeight="1">
      <c r="A592" s="55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</row>
    <row r="593" ht="13.5" customHeight="1">
      <c r="A593" s="55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</row>
    <row r="594" ht="13.5" customHeight="1">
      <c r="A594" s="55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</row>
    <row r="595" ht="13.5" customHeight="1">
      <c r="A595" s="55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</row>
    <row r="596" ht="13.5" customHeight="1">
      <c r="A596" s="55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</row>
    <row r="597" ht="13.5" customHeight="1">
      <c r="A597" s="55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</row>
    <row r="598" ht="13.5" customHeight="1">
      <c r="A598" s="55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</row>
    <row r="599" ht="13.5" customHeight="1">
      <c r="A599" s="55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</row>
    <row r="600" ht="13.5" customHeight="1">
      <c r="A600" s="55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</row>
    <row r="601" ht="13.5" customHeight="1">
      <c r="A601" s="55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</row>
    <row r="602" ht="13.5" customHeight="1">
      <c r="A602" s="55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</row>
    <row r="603" ht="13.5" customHeight="1">
      <c r="A603" s="55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</row>
    <row r="604" ht="13.5" customHeight="1">
      <c r="A604" s="55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</row>
    <row r="605" ht="13.5" customHeight="1">
      <c r="A605" s="55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</row>
    <row r="606" ht="13.5" customHeight="1">
      <c r="A606" s="55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</row>
    <row r="607" ht="13.5" customHeight="1">
      <c r="A607" s="55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</row>
    <row r="608" ht="13.5" customHeight="1">
      <c r="A608" s="55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</row>
    <row r="609" ht="13.5" customHeight="1">
      <c r="A609" s="55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</row>
    <row r="610" ht="13.5" customHeight="1">
      <c r="A610" s="55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</row>
    <row r="611" ht="13.5" customHeight="1">
      <c r="A611" s="55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</row>
    <row r="612" ht="13.5" customHeight="1">
      <c r="A612" s="55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</row>
    <row r="613" ht="13.5" customHeight="1">
      <c r="A613" s="55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</row>
    <row r="614" ht="13.5" customHeight="1">
      <c r="A614" s="55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</row>
    <row r="615" ht="13.5" customHeight="1">
      <c r="A615" s="55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</row>
    <row r="616" ht="13.5" customHeight="1">
      <c r="A616" s="55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</row>
    <row r="617" ht="13.5" customHeight="1">
      <c r="A617" s="55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</row>
    <row r="618" ht="13.5" customHeight="1">
      <c r="A618" s="55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</row>
    <row r="619" ht="13.5" customHeight="1">
      <c r="A619" s="55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</row>
    <row r="620" ht="13.5" customHeight="1">
      <c r="A620" s="55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</row>
    <row r="621" ht="13.5" customHeight="1">
      <c r="A621" s="55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</row>
    <row r="622" ht="13.5" customHeight="1">
      <c r="A622" s="55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</row>
    <row r="623" ht="13.5" customHeight="1">
      <c r="A623" s="55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</row>
    <row r="624" ht="13.5" customHeight="1">
      <c r="A624" s="55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</row>
    <row r="625" ht="13.5" customHeight="1">
      <c r="A625" s="55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</row>
    <row r="626" ht="13.5" customHeight="1">
      <c r="A626" s="55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</row>
    <row r="627" ht="13.5" customHeight="1">
      <c r="A627" s="55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</row>
    <row r="628" ht="13.5" customHeight="1">
      <c r="A628" s="55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</row>
    <row r="629" ht="13.5" customHeight="1">
      <c r="A629" s="55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</row>
    <row r="630" ht="13.5" customHeight="1">
      <c r="A630" s="55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</row>
    <row r="631" ht="13.5" customHeight="1">
      <c r="A631" s="55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</row>
    <row r="632" ht="13.5" customHeight="1">
      <c r="A632" s="55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</row>
    <row r="633" ht="13.5" customHeight="1">
      <c r="A633" s="55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</row>
    <row r="634" ht="13.5" customHeight="1">
      <c r="A634" s="55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</row>
    <row r="635" ht="13.5" customHeight="1">
      <c r="A635" s="55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</row>
    <row r="636" ht="13.5" customHeight="1">
      <c r="A636" s="55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</row>
    <row r="637" ht="13.5" customHeight="1">
      <c r="A637" s="55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</row>
    <row r="638" ht="13.5" customHeight="1">
      <c r="A638" s="55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</row>
    <row r="639" ht="13.5" customHeight="1">
      <c r="A639" s="55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</row>
    <row r="640" ht="13.5" customHeight="1">
      <c r="A640" s="55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</row>
    <row r="641" ht="13.5" customHeight="1">
      <c r="A641" s="55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</row>
    <row r="642" ht="13.5" customHeight="1">
      <c r="A642" s="55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</row>
    <row r="643" ht="13.5" customHeight="1">
      <c r="A643" s="55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</row>
    <row r="644" ht="13.5" customHeight="1">
      <c r="A644" s="55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</row>
    <row r="645" ht="13.5" customHeight="1">
      <c r="A645" s="55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</row>
    <row r="646" ht="13.5" customHeight="1">
      <c r="A646" s="55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</row>
    <row r="647" ht="13.5" customHeight="1">
      <c r="A647" s="55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</row>
    <row r="648" ht="13.5" customHeight="1">
      <c r="A648" s="55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</row>
    <row r="649" ht="13.5" customHeight="1">
      <c r="A649" s="55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</row>
    <row r="650" ht="13.5" customHeight="1">
      <c r="A650" s="55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</row>
    <row r="651" ht="13.5" customHeight="1">
      <c r="A651" s="55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</row>
    <row r="652" ht="13.5" customHeight="1">
      <c r="A652" s="55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</row>
    <row r="653" ht="13.5" customHeight="1">
      <c r="A653" s="55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</row>
    <row r="654" ht="13.5" customHeight="1">
      <c r="A654" s="55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</row>
    <row r="655" ht="13.5" customHeight="1">
      <c r="A655" s="55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</row>
    <row r="656" ht="13.5" customHeight="1">
      <c r="A656" s="55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</row>
    <row r="657" ht="13.5" customHeight="1">
      <c r="A657" s="55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</row>
    <row r="658" ht="13.5" customHeight="1">
      <c r="A658" s="55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</row>
    <row r="659" ht="13.5" customHeight="1">
      <c r="A659" s="55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</row>
    <row r="660" ht="13.5" customHeight="1">
      <c r="A660" s="55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</row>
    <row r="661" ht="13.5" customHeight="1">
      <c r="A661" s="55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</row>
    <row r="662" ht="13.5" customHeight="1">
      <c r="A662" s="55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</row>
    <row r="663" ht="13.5" customHeight="1">
      <c r="A663" s="55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</row>
    <row r="664" ht="13.5" customHeight="1">
      <c r="A664" s="55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</row>
    <row r="665" ht="13.5" customHeight="1">
      <c r="A665" s="55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</row>
    <row r="666" ht="13.5" customHeight="1">
      <c r="A666" s="55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</row>
    <row r="667" ht="13.5" customHeight="1">
      <c r="A667" s="55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</row>
    <row r="668" ht="13.5" customHeight="1">
      <c r="A668" s="55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</row>
    <row r="669" ht="13.5" customHeight="1">
      <c r="A669" s="55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</row>
    <row r="670" ht="13.5" customHeight="1">
      <c r="A670" s="55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</row>
    <row r="671" ht="13.5" customHeight="1">
      <c r="A671" s="55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</row>
    <row r="672" ht="13.5" customHeight="1">
      <c r="A672" s="55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</row>
    <row r="673" ht="13.5" customHeight="1">
      <c r="A673" s="55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</row>
    <row r="674" ht="13.5" customHeight="1">
      <c r="A674" s="55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</row>
    <row r="675" ht="13.5" customHeight="1">
      <c r="A675" s="55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</row>
    <row r="676" ht="13.5" customHeight="1">
      <c r="A676" s="55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</row>
    <row r="677" ht="13.5" customHeight="1">
      <c r="A677" s="55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</row>
    <row r="678" ht="13.5" customHeight="1">
      <c r="A678" s="55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</row>
    <row r="679" ht="13.5" customHeight="1">
      <c r="A679" s="55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</row>
    <row r="680" ht="13.5" customHeight="1">
      <c r="A680" s="55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</row>
    <row r="681" ht="13.5" customHeight="1">
      <c r="A681" s="55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</row>
    <row r="682" ht="13.5" customHeight="1">
      <c r="A682" s="55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</row>
    <row r="683" ht="13.5" customHeight="1">
      <c r="A683" s="55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</row>
    <row r="684" ht="13.5" customHeight="1">
      <c r="A684" s="55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</row>
    <row r="685" ht="13.5" customHeight="1">
      <c r="A685" s="55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</row>
    <row r="686" ht="13.5" customHeight="1">
      <c r="A686" s="55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</row>
    <row r="687" ht="13.5" customHeight="1">
      <c r="A687" s="55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</row>
    <row r="688" ht="13.5" customHeight="1">
      <c r="A688" s="55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</row>
    <row r="689" ht="13.5" customHeight="1">
      <c r="A689" s="55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</row>
    <row r="690" ht="13.5" customHeight="1">
      <c r="A690" s="55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</row>
    <row r="691" ht="13.5" customHeight="1">
      <c r="A691" s="55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  <c r="AC691" s="56"/>
      <c r="AD691" s="56"/>
      <c r="AE691" s="56"/>
      <c r="AF691" s="56"/>
      <c r="AG691" s="56"/>
      <c r="AH691" s="56"/>
      <c r="AI691" s="56"/>
      <c r="AJ691" s="56"/>
      <c r="AK691" s="56"/>
      <c r="AL691" s="56"/>
      <c r="AM691" s="56"/>
      <c r="AN691" s="56"/>
    </row>
    <row r="692" ht="13.5" customHeight="1">
      <c r="A692" s="55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  <c r="AC692" s="56"/>
      <c r="AD692" s="56"/>
      <c r="AE692" s="56"/>
      <c r="AF692" s="56"/>
      <c r="AG692" s="56"/>
      <c r="AH692" s="56"/>
      <c r="AI692" s="56"/>
      <c r="AJ692" s="56"/>
      <c r="AK692" s="56"/>
      <c r="AL692" s="56"/>
      <c r="AM692" s="56"/>
      <c r="AN692" s="56"/>
    </row>
    <row r="693" ht="13.5" customHeight="1">
      <c r="A693" s="55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  <c r="AC693" s="56"/>
      <c r="AD693" s="56"/>
      <c r="AE693" s="56"/>
      <c r="AF693" s="56"/>
      <c r="AG693" s="56"/>
      <c r="AH693" s="56"/>
      <c r="AI693" s="56"/>
      <c r="AJ693" s="56"/>
      <c r="AK693" s="56"/>
      <c r="AL693" s="56"/>
      <c r="AM693" s="56"/>
      <c r="AN693" s="56"/>
    </row>
    <row r="694" ht="13.5" customHeight="1">
      <c r="A694" s="55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  <c r="AC694" s="56"/>
      <c r="AD694" s="56"/>
      <c r="AE694" s="56"/>
      <c r="AF694" s="56"/>
      <c r="AG694" s="56"/>
      <c r="AH694" s="56"/>
      <c r="AI694" s="56"/>
      <c r="AJ694" s="56"/>
      <c r="AK694" s="56"/>
      <c r="AL694" s="56"/>
      <c r="AM694" s="56"/>
      <c r="AN694" s="56"/>
    </row>
    <row r="695" ht="13.5" customHeight="1">
      <c r="A695" s="55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  <c r="AC695" s="56"/>
      <c r="AD695" s="56"/>
      <c r="AE695" s="56"/>
      <c r="AF695" s="56"/>
      <c r="AG695" s="56"/>
      <c r="AH695" s="56"/>
      <c r="AI695" s="56"/>
      <c r="AJ695" s="56"/>
      <c r="AK695" s="56"/>
      <c r="AL695" s="56"/>
      <c r="AM695" s="56"/>
      <c r="AN695" s="56"/>
    </row>
    <row r="696" ht="13.5" customHeight="1">
      <c r="A696" s="55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  <c r="AC696" s="56"/>
      <c r="AD696" s="56"/>
      <c r="AE696" s="56"/>
      <c r="AF696" s="56"/>
      <c r="AG696" s="56"/>
      <c r="AH696" s="56"/>
      <c r="AI696" s="56"/>
      <c r="AJ696" s="56"/>
      <c r="AK696" s="56"/>
      <c r="AL696" s="56"/>
      <c r="AM696" s="56"/>
      <c r="AN696" s="56"/>
    </row>
    <row r="697" ht="13.5" customHeight="1">
      <c r="A697" s="55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  <c r="AC697" s="56"/>
      <c r="AD697" s="56"/>
      <c r="AE697" s="56"/>
      <c r="AF697" s="56"/>
      <c r="AG697" s="56"/>
      <c r="AH697" s="56"/>
      <c r="AI697" s="56"/>
      <c r="AJ697" s="56"/>
      <c r="AK697" s="56"/>
      <c r="AL697" s="56"/>
      <c r="AM697" s="56"/>
      <c r="AN697" s="56"/>
    </row>
    <row r="698" ht="13.5" customHeight="1">
      <c r="A698" s="55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  <c r="AC698" s="56"/>
      <c r="AD698" s="56"/>
      <c r="AE698" s="56"/>
      <c r="AF698" s="56"/>
      <c r="AG698" s="56"/>
      <c r="AH698" s="56"/>
      <c r="AI698" s="56"/>
      <c r="AJ698" s="56"/>
      <c r="AK698" s="56"/>
      <c r="AL698" s="56"/>
      <c r="AM698" s="56"/>
      <c r="AN698" s="56"/>
    </row>
    <row r="699" ht="13.5" customHeight="1">
      <c r="A699" s="55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</row>
    <row r="700" ht="13.5" customHeight="1">
      <c r="A700" s="55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</row>
    <row r="701" ht="13.5" customHeight="1">
      <c r="A701" s="55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  <c r="AC701" s="56"/>
      <c r="AD701" s="56"/>
      <c r="AE701" s="56"/>
      <c r="AF701" s="56"/>
      <c r="AG701" s="56"/>
      <c r="AH701" s="56"/>
      <c r="AI701" s="56"/>
      <c r="AJ701" s="56"/>
      <c r="AK701" s="56"/>
      <c r="AL701" s="56"/>
      <c r="AM701" s="56"/>
      <c r="AN701" s="56"/>
    </row>
    <row r="702" ht="13.5" customHeight="1">
      <c r="A702" s="55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  <c r="AC702" s="56"/>
      <c r="AD702" s="56"/>
      <c r="AE702" s="56"/>
      <c r="AF702" s="56"/>
      <c r="AG702" s="56"/>
      <c r="AH702" s="56"/>
      <c r="AI702" s="56"/>
      <c r="AJ702" s="56"/>
      <c r="AK702" s="56"/>
      <c r="AL702" s="56"/>
      <c r="AM702" s="56"/>
      <c r="AN702" s="56"/>
    </row>
    <row r="703" ht="13.5" customHeight="1">
      <c r="A703" s="55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  <c r="AC703" s="56"/>
      <c r="AD703" s="56"/>
      <c r="AE703" s="56"/>
      <c r="AF703" s="56"/>
      <c r="AG703" s="56"/>
      <c r="AH703" s="56"/>
      <c r="AI703" s="56"/>
      <c r="AJ703" s="56"/>
      <c r="AK703" s="56"/>
      <c r="AL703" s="56"/>
      <c r="AM703" s="56"/>
      <c r="AN703" s="56"/>
    </row>
    <row r="704" ht="13.5" customHeight="1">
      <c r="A704" s="55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</row>
    <row r="705" ht="13.5" customHeight="1">
      <c r="A705" s="55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</row>
    <row r="706" ht="13.5" customHeight="1">
      <c r="A706" s="55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</row>
    <row r="707" ht="13.5" customHeight="1">
      <c r="A707" s="55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</row>
    <row r="708" ht="13.5" customHeight="1">
      <c r="A708" s="55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</row>
    <row r="709" ht="13.5" customHeight="1">
      <c r="A709" s="55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</row>
    <row r="710" ht="13.5" customHeight="1">
      <c r="A710" s="55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</row>
    <row r="711" ht="13.5" customHeight="1">
      <c r="A711" s="55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  <c r="AC711" s="56"/>
      <c r="AD711" s="56"/>
      <c r="AE711" s="56"/>
      <c r="AF711" s="56"/>
      <c r="AG711" s="56"/>
      <c r="AH711" s="56"/>
      <c r="AI711" s="56"/>
      <c r="AJ711" s="56"/>
      <c r="AK711" s="56"/>
      <c r="AL711" s="56"/>
      <c r="AM711" s="56"/>
      <c r="AN711" s="56"/>
    </row>
    <row r="712" ht="13.5" customHeight="1">
      <c r="A712" s="55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  <c r="AC712" s="56"/>
      <c r="AD712" s="56"/>
      <c r="AE712" s="56"/>
      <c r="AF712" s="56"/>
      <c r="AG712" s="56"/>
      <c r="AH712" s="56"/>
      <c r="AI712" s="56"/>
      <c r="AJ712" s="56"/>
      <c r="AK712" s="56"/>
      <c r="AL712" s="56"/>
      <c r="AM712" s="56"/>
      <c r="AN712" s="56"/>
    </row>
    <row r="713" ht="13.5" customHeight="1">
      <c r="A713" s="55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  <c r="AC713" s="56"/>
      <c r="AD713" s="56"/>
      <c r="AE713" s="56"/>
      <c r="AF713" s="56"/>
      <c r="AG713" s="56"/>
      <c r="AH713" s="56"/>
      <c r="AI713" s="56"/>
      <c r="AJ713" s="56"/>
      <c r="AK713" s="56"/>
      <c r="AL713" s="56"/>
      <c r="AM713" s="56"/>
      <c r="AN713" s="56"/>
    </row>
    <row r="714" ht="13.5" customHeight="1">
      <c r="A714" s="55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</row>
    <row r="715" ht="13.5" customHeight="1">
      <c r="A715" s="55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  <c r="AC715" s="56"/>
      <c r="AD715" s="56"/>
      <c r="AE715" s="56"/>
      <c r="AF715" s="56"/>
      <c r="AG715" s="56"/>
      <c r="AH715" s="56"/>
      <c r="AI715" s="56"/>
      <c r="AJ715" s="56"/>
      <c r="AK715" s="56"/>
      <c r="AL715" s="56"/>
      <c r="AM715" s="56"/>
      <c r="AN715" s="56"/>
    </row>
    <row r="716" ht="13.5" customHeight="1">
      <c r="A716" s="55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  <c r="AC716" s="56"/>
      <c r="AD716" s="56"/>
      <c r="AE716" s="56"/>
      <c r="AF716" s="56"/>
      <c r="AG716" s="56"/>
      <c r="AH716" s="56"/>
      <c r="AI716" s="56"/>
      <c r="AJ716" s="56"/>
      <c r="AK716" s="56"/>
      <c r="AL716" s="56"/>
      <c r="AM716" s="56"/>
      <c r="AN716" s="56"/>
    </row>
    <row r="717" ht="13.5" customHeight="1">
      <c r="A717" s="55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</row>
    <row r="718" ht="13.5" customHeight="1">
      <c r="A718" s="55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  <c r="AC718" s="56"/>
      <c r="AD718" s="56"/>
      <c r="AE718" s="56"/>
      <c r="AF718" s="56"/>
      <c r="AG718" s="56"/>
      <c r="AH718" s="56"/>
      <c r="AI718" s="56"/>
      <c r="AJ718" s="56"/>
      <c r="AK718" s="56"/>
      <c r="AL718" s="56"/>
      <c r="AM718" s="56"/>
      <c r="AN718" s="56"/>
    </row>
    <row r="719" ht="13.5" customHeight="1">
      <c r="A719" s="55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  <c r="AC719" s="56"/>
      <c r="AD719" s="56"/>
      <c r="AE719" s="56"/>
      <c r="AF719" s="56"/>
      <c r="AG719" s="56"/>
      <c r="AH719" s="56"/>
      <c r="AI719" s="56"/>
      <c r="AJ719" s="56"/>
      <c r="AK719" s="56"/>
      <c r="AL719" s="56"/>
      <c r="AM719" s="56"/>
      <c r="AN719" s="56"/>
    </row>
    <row r="720" ht="13.5" customHeight="1">
      <c r="A720" s="55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</row>
    <row r="721" ht="13.5" customHeight="1">
      <c r="A721" s="55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  <c r="AC721" s="56"/>
      <c r="AD721" s="56"/>
      <c r="AE721" s="56"/>
      <c r="AF721" s="56"/>
      <c r="AG721" s="56"/>
      <c r="AH721" s="56"/>
      <c r="AI721" s="56"/>
      <c r="AJ721" s="56"/>
      <c r="AK721" s="56"/>
      <c r="AL721" s="56"/>
      <c r="AM721" s="56"/>
      <c r="AN721" s="56"/>
    </row>
    <row r="722" ht="13.5" customHeight="1">
      <c r="A722" s="55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  <c r="AC722" s="56"/>
      <c r="AD722" s="56"/>
      <c r="AE722" s="56"/>
      <c r="AF722" s="56"/>
      <c r="AG722" s="56"/>
      <c r="AH722" s="56"/>
      <c r="AI722" s="56"/>
      <c r="AJ722" s="56"/>
      <c r="AK722" s="56"/>
      <c r="AL722" s="56"/>
      <c r="AM722" s="56"/>
      <c r="AN722" s="56"/>
    </row>
    <row r="723" ht="13.5" customHeight="1">
      <c r="A723" s="55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  <c r="AC723" s="56"/>
      <c r="AD723" s="56"/>
      <c r="AE723" s="56"/>
      <c r="AF723" s="56"/>
      <c r="AG723" s="56"/>
      <c r="AH723" s="56"/>
      <c r="AI723" s="56"/>
      <c r="AJ723" s="56"/>
      <c r="AK723" s="56"/>
      <c r="AL723" s="56"/>
      <c r="AM723" s="56"/>
      <c r="AN723" s="56"/>
    </row>
    <row r="724" ht="13.5" customHeight="1">
      <c r="A724" s="55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  <c r="AC724" s="56"/>
      <c r="AD724" s="56"/>
      <c r="AE724" s="56"/>
      <c r="AF724" s="56"/>
      <c r="AG724" s="56"/>
      <c r="AH724" s="56"/>
      <c r="AI724" s="56"/>
      <c r="AJ724" s="56"/>
      <c r="AK724" s="56"/>
      <c r="AL724" s="56"/>
      <c r="AM724" s="56"/>
      <c r="AN724" s="56"/>
    </row>
    <row r="725" ht="13.5" customHeight="1">
      <c r="A725" s="55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  <c r="AC725" s="56"/>
      <c r="AD725" s="56"/>
      <c r="AE725" s="56"/>
      <c r="AF725" s="56"/>
      <c r="AG725" s="56"/>
      <c r="AH725" s="56"/>
      <c r="AI725" s="56"/>
      <c r="AJ725" s="56"/>
      <c r="AK725" s="56"/>
      <c r="AL725" s="56"/>
      <c r="AM725" s="56"/>
      <c r="AN725" s="56"/>
    </row>
    <row r="726" ht="13.5" customHeight="1">
      <c r="A726" s="55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  <c r="AC726" s="56"/>
      <c r="AD726" s="56"/>
      <c r="AE726" s="56"/>
      <c r="AF726" s="56"/>
      <c r="AG726" s="56"/>
      <c r="AH726" s="56"/>
      <c r="AI726" s="56"/>
      <c r="AJ726" s="56"/>
      <c r="AK726" s="56"/>
      <c r="AL726" s="56"/>
      <c r="AM726" s="56"/>
      <c r="AN726" s="56"/>
    </row>
    <row r="727" ht="13.5" customHeight="1">
      <c r="A727" s="55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  <c r="AC727" s="56"/>
      <c r="AD727" s="56"/>
      <c r="AE727" s="56"/>
      <c r="AF727" s="56"/>
      <c r="AG727" s="56"/>
      <c r="AH727" s="56"/>
      <c r="AI727" s="56"/>
      <c r="AJ727" s="56"/>
      <c r="AK727" s="56"/>
      <c r="AL727" s="56"/>
      <c r="AM727" s="56"/>
      <c r="AN727" s="56"/>
    </row>
    <row r="728" ht="13.5" customHeight="1">
      <c r="A728" s="55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  <c r="AC728" s="56"/>
      <c r="AD728" s="56"/>
      <c r="AE728" s="56"/>
      <c r="AF728" s="56"/>
      <c r="AG728" s="56"/>
      <c r="AH728" s="56"/>
      <c r="AI728" s="56"/>
      <c r="AJ728" s="56"/>
      <c r="AK728" s="56"/>
      <c r="AL728" s="56"/>
      <c r="AM728" s="56"/>
      <c r="AN728" s="56"/>
    </row>
    <row r="729" ht="13.5" customHeight="1">
      <c r="A729" s="55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  <c r="AC729" s="56"/>
      <c r="AD729" s="56"/>
      <c r="AE729" s="56"/>
      <c r="AF729" s="56"/>
      <c r="AG729" s="56"/>
      <c r="AH729" s="56"/>
      <c r="AI729" s="56"/>
      <c r="AJ729" s="56"/>
      <c r="AK729" s="56"/>
      <c r="AL729" s="56"/>
      <c r="AM729" s="56"/>
      <c r="AN729" s="56"/>
    </row>
    <row r="730" ht="13.5" customHeight="1">
      <c r="A730" s="55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</row>
    <row r="731" ht="13.5" customHeight="1">
      <c r="A731" s="55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  <c r="AC731" s="56"/>
      <c r="AD731" s="56"/>
      <c r="AE731" s="56"/>
      <c r="AF731" s="56"/>
      <c r="AG731" s="56"/>
      <c r="AH731" s="56"/>
      <c r="AI731" s="56"/>
      <c r="AJ731" s="56"/>
      <c r="AK731" s="56"/>
      <c r="AL731" s="56"/>
      <c r="AM731" s="56"/>
      <c r="AN731" s="56"/>
    </row>
    <row r="732" ht="13.5" customHeight="1">
      <c r="A732" s="55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  <c r="AC732" s="56"/>
      <c r="AD732" s="56"/>
      <c r="AE732" s="56"/>
      <c r="AF732" s="56"/>
      <c r="AG732" s="56"/>
      <c r="AH732" s="56"/>
      <c r="AI732" s="56"/>
      <c r="AJ732" s="56"/>
      <c r="AK732" s="56"/>
      <c r="AL732" s="56"/>
      <c r="AM732" s="56"/>
      <c r="AN732" s="56"/>
    </row>
    <row r="733" ht="13.5" customHeight="1">
      <c r="A733" s="55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  <c r="AC733" s="56"/>
      <c r="AD733" s="56"/>
      <c r="AE733" s="56"/>
      <c r="AF733" s="56"/>
      <c r="AG733" s="56"/>
      <c r="AH733" s="56"/>
      <c r="AI733" s="56"/>
      <c r="AJ733" s="56"/>
      <c r="AK733" s="56"/>
      <c r="AL733" s="56"/>
      <c r="AM733" s="56"/>
      <c r="AN733" s="56"/>
    </row>
    <row r="734" ht="13.5" customHeight="1">
      <c r="A734" s="55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  <c r="AC734" s="56"/>
      <c r="AD734" s="56"/>
      <c r="AE734" s="56"/>
      <c r="AF734" s="56"/>
      <c r="AG734" s="56"/>
      <c r="AH734" s="56"/>
      <c r="AI734" s="56"/>
      <c r="AJ734" s="56"/>
      <c r="AK734" s="56"/>
      <c r="AL734" s="56"/>
      <c r="AM734" s="56"/>
      <c r="AN734" s="56"/>
    </row>
    <row r="735" ht="13.5" customHeight="1">
      <c r="A735" s="55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  <c r="AC735" s="56"/>
      <c r="AD735" s="56"/>
      <c r="AE735" s="56"/>
      <c r="AF735" s="56"/>
      <c r="AG735" s="56"/>
      <c r="AH735" s="56"/>
      <c r="AI735" s="56"/>
      <c r="AJ735" s="56"/>
      <c r="AK735" s="56"/>
      <c r="AL735" s="56"/>
      <c r="AM735" s="56"/>
      <c r="AN735" s="56"/>
    </row>
    <row r="736" ht="13.5" customHeight="1">
      <c r="A736" s="55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  <c r="AC736" s="56"/>
      <c r="AD736" s="56"/>
      <c r="AE736" s="56"/>
      <c r="AF736" s="56"/>
      <c r="AG736" s="56"/>
      <c r="AH736" s="56"/>
      <c r="AI736" s="56"/>
      <c r="AJ736" s="56"/>
      <c r="AK736" s="56"/>
      <c r="AL736" s="56"/>
      <c r="AM736" s="56"/>
      <c r="AN736" s="56"/>
    </row>
    <row r="737" ht="13.5" customHeight="1">
      <c r="A737" s="55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</row>
    <row r="738" ht="13.5" customHeight="1">
      <c r="A738" s="55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</row>
    <row r="739" ht="13.5" customHeight="1">
      <c r="A739" s="55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</row>
    <row r="740" ht="13.5" customHeight="1">
      <c r="A740" s="55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</row>
    <row r="741" ht="13.5" customHeight="1">
      <c r="A741" s="55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</row>
    <row r="742" ht="13.5" customHeight="1">
      <c r="A742" s="55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  <c r="AC742" s="56"/>
      <c r="AD742" s="56"/>
      <c r="AE742" s="56"/>
      <c r="AF742" s="56"/>
      <c r="AG742" s="56"/>
      <c r="AH742" s="56"/>
      <c r="AI742" s="56"/>
      <c r="AJ742" s="56"/>
      <c r="AK742" s="56"/>
      <c r="AL742" s="56"/>
      <c r="AM742" s="56"/>
      <c r="AN742" s="56"/>
    </row>
    <row r="743" ht="13.5" customHeight="1">
      <c r="A743" s="55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  <c r="AC743" s="56"/>
      <c r="AD743" s="56"/>
      <c r="AE743" s="56"/>
      <c r="AF743" s="56"/>
      <c r="AG743" s="56"/>
      <c r="AH743" s="56"/>
      <c r="AI743" s="56"/>
      <c r="AJ743" s="56"/>
      <c r="AK743" s="56"/>
      <c r="AL743" s="56"/>
      <c r="AM743" s="56"/>
      <c r="AN743" s="56"/>
    </row>
    <row r="744" ht="13.5" customHeight="1">
      <c r="A744" s="55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</row>
    <row r="745" ht="13.5" customHeight="1">
      <c r="A745" s="55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  <c r="AC745" s="56"/>
      <c r="AD745" s="56"/>
      <c r="AE745" s="56"/>
      <c r="AF745" s="56"/>
      <c r="AG745" s="56"/>
      <c r="AH745" s="56"/>
      <c r="AI745" s="56"/>
      <c r="AJ745" s="56"/>
      <c r="AK745" s="56"/>
      <c r="AL745" s="56"/>
      <c r="AM745" s="56"/>
      <c r="AN745" s="56"/>
    </row>
    <row r="746" ht="13.5" customHeight="1">
      <c r="A746" s="55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  <c r="AC746" s="56"/>
      <c r="AD746" s="56"/>
      <c r="AE746" s="56"/>
      <c r="AF746" s="56"/>
      <c r="AG746" s="56"/>
      <c r="AH746" s="56"/>
      <c r="AI746" s="56"/>
      <c r="AJ746" s="56"/>
      <c r="AK746" s="56"/>
      <c r="AL746" s="56"/>
      <c r="AM746" s="56"/>
      <c r="AN746" s="56"/>
    </row>
    <row r="747" ht="13.5" customHeight="1">
      <c r="A747" s="55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  <c r="AC747" s="56"/>
      <c r="AD747" s="56"/>
      <c r="AE747" s="56"/>
      <c r="AF747" s="56"/>
      <c r="AG747" s="56"/>
      <c r="AH747" s="56"/>
      <c r="AI747" s="56"/>
      <c r="AJ747" s="56"/>
      <c r="AK747" s="56"/>
      <c r="AL747" s="56"/>
      <c r="AM747" s="56"/>
      <c r="AN747" s="56"/>
    </row>
    <row r="748" ht="13.5" customHeight="1">
      <c r="A748" s="55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  <c r="AC748" s="56"/>
      <c r="AD748" s="56"/>
      <c r="AE748" s="56"/>
      <c r="AF748" s="56"/>
      <c r="AG748" s="56"/>
      <c r="AH748" s="56"/>
      <c r="AI748" s="56"/>
      <c r="AJ748" s="56"/>
      <c r="AK748" s="56"/>
      <c r="AL748" s="56"/>
      <c r="AM748" s="56"/>
      <c r="AN748" s="56"/>
    </row>
    <row r="749" ht="13.5" customHeight="1">
      <c r="A749" s="55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  <c r="AC749" s="56"/>
      <c r="AD749" s="56"/>
      <c r="AE749" s="56"/>
      <c r="AF749" s="56"/>
      <c r="AG749" s="56"/>
      <c r="AH749" s="56"/>
      <c r="AI749" s="56"/>
      <c r="AJ749" s="56"/>
      <c r="AK749" s="56"/>
      <c r="AL749" s="56"/>
      <c r="AM749" s="56"/>
      <c r="AN749" s="56"/>
    </row>
    <row r="750" ht="13.5" customHeight="1">
      <c r="A750" s="55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  <c r="AC750" s="56"/>
      <c r="AD750" s="56"/>
      <c r="AE750" s="56"/>
      <c r="AF750" s="56"/>
      <c r="AG750" s="56"/>
      <c r="AH750" s="56"/>
      <c r="AI750" s="56"/>
      <c r="AJ750" s="56"/>
      <c r="AK750" s="56"/>
      <c r="AL750" s="56"/>
      <c r="AM750" s="56"/>
      <c r="AN750" s="56"/>
    </row>
    <row r="751" ht="13.5" customHeight="1">
      <c r="A751" s="55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</row>
    <row r="752" ht="13.5" customHeight="1">
      <c r="A752" s="55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  <c r="AC752" s="56"/>
      <c r="AD752" s="56"/>
      <c r="AE752" s="56"/>
      <c r="AF752" s="56"/>
      <c r="AG752" s="56"/>
      <c r="AH752" s="56"/>
      <c r="AI752" s="56"/>
      <c r="AJ752" s="56"/>
      <c r="AK752" s="56"/>
      <c r="AL752" s="56"/>
      <c r="AM752" s="56"/>
      <c r="AN752" s="56"/>
    </row>
    <row r="753" ht="13.5" customHeight="1">
      <c r="A753" s="55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</row>
    <row r="754" ht="13.5" customHeight="1">
      <c r="A754" s="55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</row>
    <row r="755" ht="13.5" customHeight="1">
      <c r="A755" s="55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  <c r="AC755" s="56"/>
      <c r="AD755" s="56"/>
      <c r="AE755" s="56"/>
      <c r="AF755" s="56"/>
      <c r="AG755" s="56"/>
      <c r="AH755" s="56"/>
      <c r="AI755" s="56"/>
      <c r="AJ755" s="56"/>
      <c r="AK755" s="56"/>
      <c r="AL755" s="56"/>
      <c r="AM755" s="56"/>
      <c r="AN755" s="56"/>
    </row>
    <row r="756" ht="13.5" customHeight="1">
      <c r="A756" s="55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  <c r="AC756" s="56"/>
      <c r="AD756" s="56"/>
      <c r="AE756" s="56"/>
      <c r="AF756" s="56"/>
      <c r="AG756" s="56"/>
      <c r="AH756" s="56"/>
      <c r="AI756" s="56"/>
      <c r="AJ756" s="56"/>
      <c r="AK756" s="56"/>
      <c r="AL756" s="56"/>
      <c r="AM756" s="56"/>
      <c r="AN756" s="56"/>
    </row>
    <row r="757" ht="13.5" customHeight="1">
      <c r="A757" s="55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  <c r="AC757" s="56"/>
      <c r="AD757" s="56"/>
      <c r="AE757" s="56"/>
      <c r="AF757" s="56"/>
      <c r="AG757" s="56"/>
      <c r="AH757" s="56"/>
      <c r="AI757" s="56"/>
      <c r="AJ757" s="56"/>
      <c r="AK757" s="56"/>
      <c r="AL757" s="56"/>
      <c r="AM757" s="56"/>
      <c r="AN757" s="56"/>
    </row>
    <row r="758" ht="13.5" customHeight="1">
      <c r="A758" s="55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  <c r="AC758" s="56"/>
      <c r="AD758" s="56"/>
      <c r="AE758" s="56"/>
      <c r="AF758" s="56"/>
      <c r="AG758" s="56"/>
      <c r="AH758" s="56"/>
      <c r="AI758" s="56"/>
      <c r="AJ758" s="56"/>
      <c r="AK758" s="56"/>
      <c r="AL758" s="56"/>
      <c r="AM758" s="56"/>
      <c r="AN758" s="56"/>
    </row>
    <row r="759" ht="13.5" customHeight="1">
      <c r="A759" s="55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</row>
    <row r="760" ht="13.5" customHeight="1">
      <c r="A760" s="55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</row>
    <row r="761" ht="13.5" customHeight="1">
      <c r="A761" s="55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</row>
    <row r="762" ht="13.5" customHeight="1">
      <c r="A762" s="55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</row>
    <row r="763" ht="13.5" customHeight="1">
      <c r="A763" s="55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</row>
    <row r="764" ht="13.5" customHeight="1">
      <c r="A764" s="55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</row>
    <row r="765" ht="13.5" customHeight="1">
      <c r="A765" s="55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</row>
    <row r="766" ht="13.5" customHeight="1">
      <c r="A766" s="55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</row>
    <row r="767" ht="13.5" customHeight="1">
      <c r="A767" s="55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</row>
    <row r="768" ht="13.5" customHeight="1">
      <c r="A768" s="55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</row>
    <row r="769" ht="13.5" customHeight="1">
      <c r="A769" s="55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  <c r="AC769" s="56"/>
      <c r="AD769" s="56"/>
      <c r="AE769" s="56"/>
      <c r="AF769" s="56"/>
      <c r="AG769" s="56"/>
      <c r="AH769" s="56"/>
      <c r="AI769" s="56"/>
      <c r="AJ769" s="56"/>
      <c r="AK769" s="56"/>
      <c r="AL769" s="56"/>
      <c r="AM769" s="56"/>
      <c r="AN769" s="56"/>
    </row>
    <row r="770" ht="13.5" customHeight="1">
      <c r="A770" s="55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</row>
    <row r="771" ht="13.5" customHeight="1">
      <c r="A771" s="55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  <c r="AC771" s="56"/>
      <c r="AD771" s="56"/>
      <c r="AE771" s="56"/>
      <c r="AF771" s="56"/>
      <c r="AG771" s="56"/>
      <c r="AH771" s="56"/>
      <c r="AI771" s="56"/>
      <c r="AJ771" s="56"/>
      <c r="AK771" s="56"/>
      <c r="AL771" s="56"/>
      <c r="AM771" s="56"/>
      <c r="AN771" s="56"/>
    </row>
    <row r="772" ht="13.5" customHeight="1">
      <c r="A772" s="55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</row>
    <row r="773" ht="13.5" customHeight="1">
      <c r="A773" s="55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</row>
    <row r="774" ht="13.5" customHeight="1">
      <c r="A774" s="55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  <c r="AC774" s="56"/>
      <c r="AD774" s="56"/>
      <c r="AE774" s="56"/>
      <c r="AF774" s="56"/>
      <c r="AG774" s="56"/>
      <c r="AH774" s="56"/>
      <c r="AI774" s="56"/>
      <c r="AJ774" s="56"/>
      <c r="AK774" s="56"/>
      <c r="AL774" s="56"/>
      <c r="AM774" s="56"/>
      <c r="AN774" s="56"/>
    </row>
    <row r="775" ht="13.5" customHeight="1">
      <c r="A775" s="55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</row>
    <row r="776" ht="13.5" customHeight="1">
      <c r="A776" s="55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  <c r="AC776" s="56"/>
      <c r="AD776" s="56"/>
      <c r="AE776" s="56"/>
      <c r="AF776" s="56"/>
      <c r="AG776" s="56"/>
      <c r="AH776" s="56"/>
      <c r="AI776" s="56"/>
      <c r="AJ776" s="56"/>
      <c r="AK776" s="56"/>
      <c r="AL776" s="56"/>
      <c r="AM776" s="56"/>
      <c r="AN776" s="56"/>
    </row>
    <row r="777" ht="13.5" customHeight="1">
      <c r="A777" s="55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</row>
    <row r="778" ht="13.5" customHeight="1">
      <c r="A778" s="55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  <c r="AC778" s="56"/>
      <c r="AD778" s="56"/>
      <c r="AE778" s="56"/>
      <c r="AF778" s="56"/>
      <c r="AG778" s="56"/>
      <c r="AH778" s="56"/>
      <c r="AI778" s="56"/>
      <c r="AJ778" s="56"/>
      <c r="AK778" s="56"/>
      <c r="AL778" s="56"/>
      <c r="AM778" s="56"/>
      <c r="AN778" s="56"/>
    </row>
    <row r="779" ht="13.5" customHeight="1">
      <c r="A779" s="55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</row>
    <row r="780" ht="13.5" customHeight="1">
      <c r="A780" s="55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</row>
    <row r="781" ht="13.5" customHeight="1">
      <c r="A781" s="55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</row>
    <row r="782" ht="13.5" customHeight="1">
      <c r="A782" s="55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</row>
    <row r="783" ht="13.5" customHeight="1">
      <c r="A783" s="55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</row>
    <row r="784" ht="13.5" customHeight="1">
      <c r="A784" s="55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  <c r="AC784" s="56"/>
      <c r="AD784" s="56"/>
      <c r="AE784" s="56"/>
      <c r="AF784" s="56"/>
      <c r="AG784" s="56"/>
      <c r="AH784" s="56"/>
      <c r="AI784" s="56"/>
      <c r="AJ784" s="56"/>
      <c r="AK784" s="56"/>
      <c r="AL784" s="56"/>
      <c r="AM784" s="56"/>
      <c r="AN784" s="56"/>
    </row>
    <row r="785" ht="13.5" customHeight="1">
      <c r="A785" s="55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</row>
    <row r="786" ht="13.5" customHeight="1">
      <c r="A786" s="55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  <c r="AC786" s="56"/>
      <c r="AD786" s="56"/>
      <c r="AE786" s="56"/>
      <c r="AF786" s="56"/>
      <c r="AG786" s="56"/>
      <c r="AH786" s="56"/>
      <c r="AI786" s="56"/>
      <c r="AJ786" s="56"/>
      <c r="AK786" s="56"/>
      <c r="AL786" s="56"/>
      <c r="AM786" s="56"/>
      <c r="AN786" s="56"/>
    </row>
    <row r="787" ht="13.5" customHeight="1">
      <c r="A787" s="55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  <c r="AC787" s="56"/>
      <c r="AD787" s="56"/>
      <c r="AE787" s="56"/>
      <c r="AF787" s="56"/>
      <c r="AG787" s="56"/>
      <c r="AH787" s="56"/>
      <c r="AI787" s="56"/>
      <c r="AJ787" s="56"/>
      <c r="AK787" s="56"/>
      <c r="AL787" s="56"/>
      <c r="AM787" s="56"/>
      <c r="AN787" s="56"/>
    </row>
    <row r="788" ht="13.5" customHeight="1">
      <c r="A788" s="55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  <c r="AC788" s="56"/>
      <c r="AD788" s="56"/>
      <c r="AE788" s="56"/>
      <c r="AF788" s="56"/>
      <c r="AG788" s="56"/>
      <c r="AH788" s="56"/>
      <c r="AI788" s="56"/>
      <c r="AJ788" s="56"/>
      <c r="AK788" s="56"/>
      <c r="AL788" s="56"/>
      <c r="AM788" s="56"/>
      <c r="AN788" s="56"/>
    </row>
    <row r="789" ht="13.5" customHeight="1">
      <c r="A789" s="55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  <c r="AC789" s="56"/>
      <c r="AD789" s="56"/>
      <c r="AE789" s="56"/>
      <c r="AF789" s="56"/>
      <c r="AG789" s="56"/>
      <c r="AH789" s="56"/>
      <c r="AI789" s="56"/>
      <c r="AJ789" s="56"/>
      <c r="AK789" s="56"/>
      <c r="AL789" s="56"/>
      <c r="AM789" s="56"/>
      <c r="AN789" s="56"/>
    </row>
    <row r="790" ht="13.5" customHeight="1">
      <c r="A790" s="55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</row>
    <row r="791" ht="13.5" customHeight="1">
      <c r="A791" s="55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</row>
    <row r="792" ht="13.5" customHeight="1">
      <c r="A792" s="55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  <c r="AC792" s="56"/>
      <c r="AD792" s="56"/>
      <c r="AE792" s="56"/>
      <c r="AF792" s="56"/>
      <c r="AG792" s="56"/>
      <c r="AH792" s="56"/>
      <c r="AI792" s="56"/>
      <c r="AJ792" s="56"/>
      <c r="AK792" s="56"/>
      <c r="AL792" s="56"/>
      <c r="AM792" s="56"/>
      <c r="AN792" s="56"/>
    </row>
    <row r="793" ht="13.5" customHeight="1">
      <c r="A793" s="55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  <c r="AC793" s="56"/>
      <c r="AD793" s="56"/>
      <c r="AE793" s="56"/>
      <c r="AF793" s="56"/>
      <c r="AG793" s="56"/>
      <c r="AH793" s="56"/>
      <c r="AI793" s="56"/>
      <c r="AJ793" s="56"/>
      <c r="AK793" s="56"/>
      <c r="AL793" s="56"/>
      <c r="AM793" s="56"/>
      <c r="AN793" s="56"/>
    </row>
    <row r="794" ht="13.5" customHeight="1">
      <c r="A794" s="55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  <c r="AC794" s="56"/>
      <c r="AD794" s="56"/>
      <c r="AE794" s="56"/>
      <c r="AF794" s="56"/>
      <c r="AG794" s="56"/>
      <c r="AH794" s="56"/>
      <c r="AI794" s="56"/>
      <c r="AJ794" s="56"/>
      <c r="AK794" s="56"/>
      <c r="AL794" s="56"/>
      <c r="AM794" s="56"/>
      <c r="AN794" s="56"/>
    </row>
    <row r="795" ht="13.5" customHeight="1">
      <c r="A795" s="55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  <c r="AC795" s="56"/>
      <c r="AD795" s="56"/>
      <c r="AE795" s="56"/>
      <c r="AF795" s="56"/>
      <c r="AG795" s="56"/>
      <c r="AH795" s="56"/>
      <c r="AI795" s="56"/>
      <c r="AJ795" s="56"/>
      <c r="AK795" s="56"/>
      <c r="AL795" s="56"/>
      <c r="AM795" s="56"/>
      <c r="AN795" s="56"/>
    </row>
    <row r="796" ht="13.5" customHeight="1">
      <c r="A796" s="55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  <c r="AC796" s="56"/>
      <c r="AD796" s="56"/>
      <c r="AE796" s="56"/>
      <c r="AF796" s="56"/>
      <c r="AG796" s="56"/>
      <c r="AH796" s="56"/>
      <c r="AI796" s="56"/>
      <c r="AJ796" s="56"/>
      <c r="AK796" s="56"/>
      <c r="AL796" s="56"/>
      <c r="AM796" s="56"/>
      <c r="AN796" s="56"/>
    </row>
    <row r="797" ht="13.5" customHeight="1">
      <c r="A797" s="55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  <c r="AC797" s="56"/>
      <c r="AD797" s="56"/>
      <c r="AE797" s="56"/>
      <c r="AF797" s="56"/>
      <c r="AG797" s="56"/>
      <c r="AH797" s="56"/>
      <c r="AI797" s="56"/>
      <c r="AJ797" s="56"/>
      <c r="AK797" s="56"/>
      <c r="AL797" s="56"/>
      <c r="AM797" s="56"/>
      <c r="AN797" s="56"/>
    </row>
    <row r="798" ht="13.5" customHeight="1">
      <c r="A798" s="55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  <c r="AC798" s="56"/>
      <c r="AD798" s="56"/>
      <c r="AE798" s="56"/>
      <c r="AF798" s="56"/>
      <c r="AG798" s="56"/>
      <c r="AH798" s="56"/>
      <c r="AI798" s="56"/>
      <c r="AJ798" s="56"/>
      <c r="AK798" s="56"/>
      <c r="AL798" s="56"/>
      <c r="AM798" s="56"/>
      <c r="AN798" s="56"/>
    </row>
    <row r="799" ht="13.5" customHeight="1">
      <c r="A799" s="55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  <c r="AC799" s="56"/>
      <c r="AD799" s="56"/>
      <c r="AE799" s="56"/>
      <c r="AF799" s="56"/>
      <c r="AG799" s="56"/>
      <c r="AH799" s="56"/>
      <c r="AI799" s="56"/>
      <c r="AJ799" s="56"/>
      <c r="AK799" s="56"/>
      <c r="AL799" s="56"/>
      <c r="AM799" s="56"/>
      <c r="AN799" s="56"/>
    </row>
    <row r="800" ht="13.5" customHeight="1">
      <c r="A800" s="55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  <c r="AC800" s="56"/>
      <c r="AD800" s="56"/>
      <c r="AE800" s="56"/>
      <c r="AF800" s="56"/>
      <c r="AG800" s="56"/>
      <c r="AH800" s="56"/>
      <c r="AI800" s="56"/>
      <c r="AJ800" s="56"/>
      <c r="AK800" s="56"/>
      <c r="AL800" s="56"/>
      <c r="AM800" s="56"/>
      <c r="AN800" s="56"/>
    </row>
    <row r="801" ht="13.5" customHeight="1">
      <c r="A801" s="55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  <c r="AC801" s="56"/>
      <c r="AD801" s="56"/>
      <c r="AE801" s="56"/>
      <c r="AF801" s="56"/>
      <c r="AG801" s="56"/>
      <c r="AH801" s="56"/>
      <c r="AI801" s="56"/>
      <c r="AJ801" s="56"/>
      <c r="AK801" s="56"/>
      <c r="AL801" s="56"/>
      <c r="AM801" s="56"/>
      <c r="AN801" s="56"/>
    </row>
    <row r="802" ht="13.5" customHeight="1">
      <c r="A802" s="55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</row>
    <row r="803" ht="13.5" customHeight="1">
      <c r="A803" s="55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  <c r="AC803" s="56"/>
      <c r="AD803" s="56"/>
      <c r="AE803" s="56"/>
      <c r="AF803" s="56"/>
      <c r="AG803" s="56"/>
      <c r="AH803" s="56"/>
      <c r="AI803" s="56"/>
      <c r="AJ803" s="56"/>
      <c r="AK803" s="56"/>
      <c r="AL803" s="56"/>
      <c r="AM803" s="56"/>
      <c r="AN803" s="56"/>
    </row>
    <row r="804" ht="13.5" customHeight="1">
      <c r="A804" s="55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  <c r="AC804" s="56"/>
      <c r="AD804" s="56"/>
      <c r="AE804" s="56"/>
      <c r="AF804" s="56"/>
      <c r="AG804" s="56"/>
      <c r="AH804" s="56"/>
      <c r="AI804" s="56"/>
      <c r="AJ804" s="56"/>
      <c r="AK804" s="56"/>
      <c r="AL804" s="56"/>
      <c r="AM804" s="56"/>
      <c r="AN804" s="56"/>
    </row>
    <row r="805" ht="13.5" customHeight="1">
      <c r="A805" s="55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  <c r="AC805" s="56"/>
      <c r="AD805" s="56"/>
      <c r="AE805" s="56"/>
      <c r="AF805" s="56"/>
      <c r="AG805" s="56"/>
      <c r="AH805" s="56"/>
      <c r="AI805" s="56"/>
      <c r="AJ805" s="56"/>
      <c r="AK805" s="56"/>
      <c r="AL805" s="56"/>
      <c r="AM805" s="56"/>
      <c r="AN805" s="56"/>
    </row>
    <row r="806" ht="13.5" customHeight="1">
      <c r="A806" s="55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  <c r="AC806" s="56"/>
      <c r="AD806" s="56"/>
      <c r="AE806" s="56"/>
      <c r="AF806" s="56"/>
      <c r="AG806" s="56"/>
      <c r="AH806" s="56"/>
      <c r="AI806" s="56"/>
      <c r="AJ806" s="56"/>
      <c r="AK806" s="56"/>
      <c r="AL806" s="56"/>
      <c r="AM806" s="56"/>
      <c r="AN806" s="56"/>
    </row>
    <row r="807" ht="13.5" customHeight="1">
      <c r="A807" s="55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  <c r="AC807" s="56"/>
      <c r="AD807" s="56"/>
      <c r="AE807" s="56"/>
      <c r="AF807" s="56"/>
      <c r="AG807" s="56"/>
      <c r="AH807" s="56"/>
      <c r="AI807" s="56"/>
      <c r="AJ807" s="56"/>
      <c r="AK807" s="56"/>
      <c r="AL807" s="56"/>
      <c r="AM807" s="56"/>
      <c r="AN807" s="56"/>
    </row>
    <row r="808" ht="13.5" customHeight="1">
      <c r="A808" s="55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  <c r="AC808" s="56"/>
      <c r="AD808" s="56"/>
      <c r="AE808" s="56"/>
      <c r="AF808" s="56"/>
      <c r="AG808" s="56"/>
      <c r="AH808" s="56"/>
      <c r="AI808" s="56"/>
      <c r="AJ808" s="56"/>
      <c r="AK808" s="56"/>
      <c r="AL808" s="56"/>
      <c r="AM808" s="56"/>
      <c r="AN808" s="56"/>
    </row>
    <row r="809" ht="13.5" customHeight="1">
      <c r="A809" s="55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</row>
    <row r="810" ht="13.5" customHeight="1">
      <c r="A810" s="55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</row>
    <row r="811" ht="13.5" customHeight="1">
      <c r="A811" s="55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</row>
    <row r="812" ht="13.5" customHeight="1">
      <c r="A812" s="55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  <c r="AC812" s="56"/>
      <c r="AD812" s="56"/>
      <c r="AE812" s="56"/>
      <c r="AF812" s="56"/>
      <c r="AG812" s="56"/>
      <c r="AH812" s="56"/>
      <c r="AI812" s="56"/>
      <c r="AJ812" s="56"/>
      <c r="AK812" s="56"/>
      <c r="AL812" s="56"/>
      <c r="AM812" s="56"/>
      <c r="AN812" s="56"/>
    </row>
    <row r="813" ht="13.5" customHeight="1">
      <c r="A813" s="55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  <c r="AC813" s="56"/>
      <c r="AD813" s="56"/>
      <c r="AE813" s="56"/>
      <c r="AF813" s="56"/>
      <c r="AG813" s="56"/>
      <c r="AH813" s="56"/>
      <c r="AI813" s="56"/>
      <c r="AJ813" s="56"/>
      <c r="AK813" s="56"/>
      <c r="AL813" s="56"/>
      <c r="AM813" s="56"/>
      <c r="AN813" s="56"/>
    </row>
    <row r="814" ht="13.5" customHeight="1">
      <c r="A814" s="55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</row>
    <row r="815" ht="13.5" customHeight="1">
      <c r="A815" s="55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  <c r="AC815" s="56"/>
      <c r="AD815" s="56"/>
      <c r="AE815" s="56"/>
      <c r="AF815" s="56"/>
      <c r="AG815" s="56"/>
      <c r="AH815" s="56"/>
      <c r="AI815" s="56"/>
      <c r="AJ815" s="56"/>
      <c r="AK815" s="56"/>
      <c r="AL815" s="56"/>
      <c r="AM815" s="56"/>
      <c r="AN815" s="56"/>
    </row>
    <row r="816" ht="13.5" customHeight="1">
      <c r="A816" s="55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  <c r="AC816" s="56"/>
      <c r="AD816" s="56"/>
      <c r="AE816" s="56"/>
      <c r="AF816" s="56"/>
      <c r="AG816" s="56"/>
      <c r="AH816" s="56"/>
      <c r="AI816" s="56"/>
      <c r="AJ816" s="56"/>
      <c r="AK816" s="56"/>
      <c r="AL816" s="56"/>
      <c r="AM816" s="56"/>
      <c r="AN816" s="56"/>
    </row>
    <row r="817" ht="13.5" customHeight="1">
      <c r="A817" s="55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</row>
    <row r="818" ht="13.5" customHeight="1">
      <c r="A818" s="55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</row>
    <row r="819" ht="13.5" customHeight="1">
      <c r="A819" s="55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</row>
    <row r="820" ht="13.5" customHeight="1">
      <c r="A820" s="55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</row>
    <row r="821" ht="13.5" customHeight="1">
      <c r="A821" s="55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</row>
    <row r="822" ht="13.5" customHeight="1">
      <c r="A822" s="55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</row>
    <row r="823" ht="13.5" customHeight="1">
      <c r="A823" s="55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  <c r="AC823" s="56"/>
      <c r="AD823" s="56"/>
      <c r="AE823" s="56"/>
      <c r="AF823" s="56"/>
      <c r="AG823" s="56"/>
      <c r="AH823" s="56"/>
      <c r="AI823" s="56"/>
      <c r="AJ823" s="56"/>
      <c r="AK823" s="56"/>
      <c r="AL823" s="56"/>
      <c r="AM823" s="56"/>
      <c r="AN823" s="56"/>
    </row>
    <row r="824" ht="13.5" customHeight="1">
      <c r="A824" s="55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  <c r="AC824" s="56"/>
      <c r="AD824" s="56"/>
      <c r="AE824" s="56"/>
      <c r="AF824" s="56"/>
      <c r="AG824" s="56"/>
      <c r="AH824" s="56"/>
      <c r="AI824" s="56"/>
      <c r="AJ824" s="56"/>
      <c r="AK824" s="56"/>
      <c r="AL824" s="56"/>
      <c r="AM824" s="56"/>
      <c r="AN824" s="56"/>
    </row>
    <row r="825" ht="13.5" customHeight="1">
      <c r="A825" s="55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  <c r="AC825" s="56"/>
      <c r="AD825" s="56"/>
      <c r="AE825" s="56"/>
      <c r="AF825" s="56"/>
      <c r="AG825" s="56"/>
      <c r="AH825" s="56"/>
      <c r="AI825" s="56"/>
      <c r="AJ825" s="56"/>
      <c r="AK825" s="56"/>
      <c r="AL825" s="56"/>
      <c r="AM825" s="56"/>
      <c r="AN825" s="56"/>
    </row>
    <row r="826" ht="13.5" customHeight="1">
      <c r="A826" s="55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</row>
    <row r="827" ht="13.5" customHeight="1">
      <c r="A827" s="55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  <c r="AC827" s="56"/>
      <c r="AD827" s="56"/>
      <c r="AE827" s="56"/>
      <c r="AF827" s="56"/>
      <c r="AG827" s="56"/>
      <c r="AH827" s="56"/>
      <c r="AI827" s="56"/>
      <c r="AJ827" s="56"/>
      <c r="AK827" s="56"/>
      <c r="AL827" s="56"/>
      <c r="AM827" s="56"/>
      <c r="AN827" s="56"/>
    </row>
    <row r="828" ht="13.5" customHeight="1">
      <c r="A828" s="55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  <c r="AC828" s="56"/>
      <c r="AD828" s="56"/>
      <c r="AE828" s="56"/>
      <c r="AF828" s="56"/>
      <c r="AG828" s="56"/>
      <c r="AH828" s="56"/>
      <c r="AI828" s="56"/>
      <c r="AJ828" s="56"/>
      <c r="AK828" s="56"/>
      <c r="AL828" s="56"/>
      <c r="AM828" s="56"/>
      <c r="AN828" s="56"/>
    </row>
    <row r="829" ht="13.5" customHeight="1">
      <c r="A829" s="55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</row>
    <row r="830" ht="13.5" customHeight="1">
      <c r="A830" s="55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</row>
    <row r="831" ht="13.5" customHeight="1">
      <c r="A831" s="55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  <c r="AC831" s="56"/>
      <c r="AD831" s="56"/>
      <c r="AE831" s="56"/>
      <c r="AF831" s="56"/>
      <c r="AG831" s="56"/>
      <c r="AH831" s="56"/>
      <c r="AI831" s="56"/>
      <c r="AJ831" s="56"/>
      <c r="AK831" s="56"/>
      <c r="AL831" s="56"/>
      <c r="AM831" s="56"/>
      <c r="AN831" s="56"/>
    </row>
    <row r="832" ht="13.5" customHeight="1">
      <c r="A832" s="55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  <c r="AC832" s="56"/>
      <c r="AD832" s="56"/>
      <c r="AE832" s="56"/>
      <c r="AF832" s="56"/>
      <c r="AG832" s="56"/>
      <c r="AH832" s="56"/>
      <c r="AI832" s="56"/>
      <c r="AJ832" s="56"/>
      <c r="AK832" s="56"/>
      <c r="AL832" s="56"/>
      <c r="AM832" s="56"/>
      <c r="AN832" s="56"/>
    </row>
    <row r="833" ht="13.5" customHeight="1">
      <c r="A833" s="55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  <c r="AC833" s="56"/>
      <c r="AD833" s="56"/>
      <c r="AE833" s="56"/>
      <c r="AF833" s="56"/>
      <c r="AG833" s="56"/>
      <c r="AH833" s="56"/>
      <c r="AI833" s="56"/>
      <c r="AJ833" s="56"/>
      <c r="AK833" s="56"/>
      <c r="AL833" s="56"/>
      <c r="AM833" s="56"/>
      <c r="AN833" s="56"/>
    </row>
    <row r="834" ht="13.5" customHeight="1">
      <c r="A834" s="55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  <c r="AC834" s="56"/>
      <c r="AD834" s="56"/>
      <c r="AE834" s="56"/>
      <c r="AF834" s="56"/>
      <c r="AG834" s="56"/>
      <c r="AH834" s="56"/>
      <c r="AI834" s="56"/>
      <c r="AJ834" s="56"/>
      <c r="AK834" s="56"/>
      <c r="AL834" s="56"/>
      <c r="AM834" s="56"/>
      <c r="AN834" s="56"/>
    </row>
    <row r="835" ht="13.5" customHeight="1">
      <c r="A835" s="55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  <c r="AC835" s="56"/>
      <c r="AD835" s="56"/>
      <c r="AE835" s="56"/>
      <c r="AF835" s="56"/>
      <c r="AG835" s="56"/>
      <c r="AH835" s="56"/>
      <c r="AI835" s="56"/>
      <c r="AJ835" s="56"/>
      <c r="AK835" s="56"/>
      <c r="AL835" s="56"/>
      <c r="AM835" s="56"/>
      <c r="AN835" s="56"/>
    </row>
    <row r="836" ht="13.5" customHeight="1">
      <c r="A836" s="55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  <c r="AC836" s="56"/>
      <c r="AD836" s="56"/>
      <c r="AE836" s="56"/>
      <c r="AF836" s="56"/>
      <c r="AG836" s="56"/>
      <c r="AH836" s="56"/>
      <c r="AI836" s="56"/>
      <c r="AJ836" s="56"/>
      <c r="AK836" s="56"/>
      <c r="AL836" s="56"/>
      <c r="AM836" s="56"/>
      <c r="AN836" s="56"/>
    </row>
    <row r="837" ht="13.5" customHeight="1">
      <c r="A837" s="55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  <c r="AC837" s="56"/>
      <c r="AD837" s="56"/>
      <c r="AE837" s="56"/>
      <c r="AF837" s="56"/>
      <c r="AG837" s="56"/>
      <c r="AH837" s="56"/>
      <c r="AI837" s="56"/>
      <c r="AJ837" s="56"/>
      <c r="AK837" s="56"/>
      <c r="AL837" s="56"/>
      <c r="AM837" s="56"/>
      <c r="AN837" s="56"/>
    </row>
    <row r="838" ht="13.5" customHeight="1">
      <c r="A838" s="55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</row>
    <row r="839" ht="13.5" customHeight="1">
      <c r="A839" s="55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  <c r="AC839" s="56"/>
      <c r="AD839" s="56"/>
      <c r="AE839" s="56"/>
      <c r="AF839" s="56"/>
      <c r="AG839" s="56"/>
      <c r="AH839" s="56"/>
      <c r="AI839" s="56"/>
      <c r="AJ839" s="56"/>
      <c r="AK839" s="56"/>
      <c r="AL839" s="56"/>
      <c r="AM839" s="56"/>
      <c r="AN839" s="56"/>
    </row>
    <row r="840" ht="13.5" customHeight="1">
      <c r="A840" s="55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  <c r="AC840" s="56"/>
      <c r="AD840" s="56"/>
      <c r="AE840" s="56"/>
      <c r="AF840" s="56"/>
      <c r="AG840" s="56"/>
      <c r="AH840" s="56"/>
      <c r="AI840" s="56"/>
      <c r="AJ840" s="56"/>
      <c r="AK840" s="56"/>
      <c r="AL840" s="56"/>
      <c r="AM840" s="56"/>
      <c r="AN840" s="56"/>
    </row>
    <row r="841" ht="13.5" customHeight="1">
      <c r="A841" s="55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  <c r="AC841" s="56"/>
      <c r="AD841" s="56"/>
      <c r="AE841" s="56"/>
      <c r="AF841" s="56"/>
      <c r="AG841" s="56"/>
      <c r="AH841" s="56"/>
      <c r="AI841" s="56"/>
      <c r="AJ841" s="56"/>
      <c r="AK841" s="56"/>
      <c r="AL841" s="56"/>
      <c r="AM841" s="56"/>
      <c r="AN841" s="56"/>
    </row>
    <row r="842" ht="13.5" customHeight="1">
      <c r="A842" s="55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  <c r="AC842" s="56"/>
      <c r="AD842" s="56"/>
      <c r="AE842" s="56"/>
      <c r="AF842" s="56"/>
      <c r="AG842" s="56"/>
      <c r="AH842" s="56"/>
      <c r="AI842" s="56"/>
      <c r="AJ842" s="56"/>
      <c r="AK842" s="56"/>
      <c r="AL842" s="56"/>
      <c r="AM842" s="56"/>
      <c r="AN842" s="56"/>
    </row>
    <row r="843" ht="13.5" customHeight="1">
      <c r="A843" s="55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  <c r="AC843" s="56"/>
      <c r="AD843" s="56"/>
      <c r="AE843" s="56"/>
      <c r="AF843" s="56"/>
      <c r="AG843" s="56"/>
      <c r="AH843" s="56"/>
      <c r="AI843" s="56"/>
      <c r="AJ843" s="56"/>
      <c r="AK843" s="56"/>
      <c r="AL843" s="56"/>
      <c r="AM843" s="56"/>
      <c r="AN843" s="56"/>
    </row>
    <row r="844" ht="13.5" customHeight="1">
      <c r="A844" s="55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</row>
    <row r="845" ht="13.5" customHeight="1">
      <c r="A845" s="55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  <c r="AC845" s="56"/>
      <c r="AD845" s="56"/>
      <c r="AE845" s="56"/>
      <c r="AF845" s="56"/>
      <c r="AG845" s="56"/>
      <c r="AH845" s="56"/>
      <c r="AI845" s="56"/>
      <c r="AJ845" s="56"/>
      <c r="AK845" s="56"/>
      <c r="AL845" s="56"/>
      <c r="AM845" s="56"/>
      <c r="AN845" s="56"/>
    </row>
    <row r="846" ht="13.5" customHeight="1">
      <c r="A846" s="55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</row>
    <row r="847" ht="13.5" customHeight="1">
      <c r="A847" s="55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</row>
    <row r="848" ht="13.5" customHeight="1">
      <c r="A848" s="55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</row>
    <row r="849" ht="13.5" customHeight="1">
      <c r="A849" s="55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</row>
    <row r="850" ht="13.5" customHeight="1">
      <c r="A850" s="55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</row>
    <row r="851" ht="13.5" customHeight="1">
      <c r="A851" s="55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</row>
    <row r="852" ht="13.5" customHeight="1">
      <c r="A852" s="55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  <c r="AE852" s="56"/>
      <c r="AF852" s="56"/>
      <c r="AG852" s="56"/>
      <c r="AH852" s="56"/>
      <c r="AI852" s="56"/>
      <c r="AJ852" s="56"/>
      <c r="AK852" s="56"/>
      <c r="AL852" s="56"/>
      <c r="AM852" s="56"/>
      <c r="AN852" s="56"/>
    </row>
    <row r="853" ht="13.5" customHeight="1">
      <c r="A853" s="55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  <c r="AC853" s="56"/>
      <c r="AD853" s="56"/>
      <c r="AE853" s="56"/>
      <c r="AF853" s="56"/>
      <c r="AG853" s="56"/>
      <c r="AH853" s="56"/>
      <c r="AI853" s="56"/>
      <c r="AJ853" s="56"/>
      <c r="AK853" s="56"/>
      <c r="AL853" s="56"/>
      <c r="AM853" s="56"/>
      <c r="AN853" s="56"/>
    </row>
    <row r="854" ht="13.5" customHeight="1">
      <c r="A854" s="55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  <c r="AC854" s="56"/>
      <c r="AD854" s="56"/>
      <c r="AE854" s="56"/>
      <c r="AF854" s="56"/>
      <c r="AG854" s="56"/>
      <c r="AH854" s="56"/>
      <c r="AI854" s="56"/>
      <c r="AJ854" s="56"/>
      <c r="AK854" s="56"/>
      <c r="AL854" s="56"/>
      <c r="AM854" s="56"/>
      <c r="AN854" s="56"/>
    </row>
    <row r="855" ht="13.5" customHeight="1">
      <c r="A855" s="55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  <c r="AC855" s="56"/>
      <c r="AD855" s="56"/>
      <c r="AE855" s="56"/>
      <c r="AF855" s="56"/>
      <c r="AG855" s="56"/>
      <c r="AH855" s="56"/>
      <c r="AI855" s="56"/>
      <c r="AJ855" s="56"/>
      <c r="AK855" s="56"/>
      <c r="AL855" s="56"/>
      <c r="AM855" s="56"/>
      <c r="AN855" s="56"/>
    </row>
    <row r="856" ht="13.5" customHeight="1">
      <c r="A856" s="55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  <c r="AC856" s="56"/>
      <c r="AD856" s="56"/>
      <c r="AE856" s="56"/>
      <c r="AF856" s="56"/>
      <c r="AG856" s="56"/>
      <c r="AH856" s="56"/>
      <c r="AI856" s="56"/>
      <c r="AJ856" s="56"/>
      <c r="AK856" s="56"/>
      <c r="AL856" s="56"/>
      <c r="AM856" s="56"/>
      <c r="AN856" s="56"/>
    </row>
    <row r="857" ht="13.5" customHeight="1">
      <c r="A857" s="55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  <c r="AC857" s="56"/>
      <c r="AD857" s="56"/>
      <c r="AE857" s="56"/>
      <c r="AF857" s="56"/>
      <c r="AG857" s="56"/>
      <c r="AH857" s="56"/>
      <c r="AI857" s="56"/>
      <c r="AJ857" s="56"/>
      <c r="AK857" s="56"/>
      <c r="AL857" s="56"/>
      <c r="AM857" s="56"/>
      <c r="AN857" s="56"/>
    </row>
    <row r="858" ht="13.5" customHeight="1">
      <c r="A858" s="55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  <c r="AC858" s="56"/>
      <c r="AD858" s="56"/>
      <c r="AE858" s="56"/>
      <c r="AF858" s="56"/>
      <c r="AG858" s="56"/>
      <c r="AH858" s="56"/>
      <c r="AI858" s="56"/>
      <c r="AJ858" s="56"/>
      <c r="AK858" s="56"/>
      <c r="AL858" s="56"/>
      <c r="AM858" s="56"/>
      <c r="AN858" s="56"/>
    </row>
    <row r="859" ht="13.5" customHeight="1">
      <c r="A859" s="55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  <c r="AC859" s="56"/>
      <c r="AD859" s="56"/>
      <c r="AE859" s="56"/>
      <c r="AF859" s="56"/>
      <c r="AG859" s="56"/>
      <c r="AH859" s="56"/>
      <c r="AI859" s="56"/>
      <c r="AJ859" s="56"/>
      <c r="AK859" s="56"/>
      <c r="AL859" s="56"/>
      <c r="AM859" s="56"/>
      <c r="AN859" s="56"/>
    </row>
    <row r="860" ht="13.5" customHeight="1">
      <c r="A860" s="55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</row>
    <row r="861" ht="13.5" customHeight="1">
      <c r="A861" s="55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</row>
    <row r="862" ht="13.5" customHeight="1">
      <c r="A862" s="55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</row>
    <row r="863" ht="13.5" customHeight="1">
      <c r="A863" s="55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  <c r="AC863" s="56"/>
      <c r="AD863" s="56"/>
      <c r="AE863" s="56"/>
      <c r="AF863" s="56"/>
      <c r="AG863" s="56"/>
      <c r="AH863" s="56"/>
      <c r="AI863" s="56"/>
      <c r="AJ863" s="56"/>
      <c r="AK863" s="56"/>
      <c r="AL863" s="56"/>
      <c r="AM863" s="56"/>
      <c r="AN863" s="56"/>
    </row>
    <row r="864" ht="13.5" customHeight="1">
      <c r="A864" s="55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  <c r="AC864" s="56"/>
      <c r="AD864" s="56"/>
      <c r="AE864" s="56"/>
      <c r="AF864" s="56"/>
      <c r="AG864" s="56"/>
      <c r="AH864" s="56"/>
      <c r="AI864" s="56"/>
      <c r="AJ864" s="56"/>
      <c r="AK864" s="56"/>
      <c r="AL864" s="56"/>
      <c r="AM864" s="56"/>
      <c r="AN864" s="56"/>
    </row>
    <row r="865" ht="13.5" customHeight="1">
      <c r="A865" s="55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  <c r="AC865" s="56"/>
      <c r="AD865" s="56"/>
      <c r="AE865" s="56"/>
      <c r="AF865" s="56"/>
      <c r="AG865" s="56"/>
      <c r="AH865" s="56"/>
      <c r="AI865" s="56"/>
      <c r="AJ865" s="56"/>
      <c r="AK865" s="56"/>
      <c r="AL865" s="56"/>
      <c r="AM865" s="56"/>
      <c r="AN865" s="56"/>
    </row>
    <row r="866" ht="13.5" customHeight="1">
      <c r="A866" s="55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</row>
    <row r="867" ht="13.5" customHeight="1">
      <c r="A867" s="55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  <c r="AC867" s="56"/>
      <c r="AD867" s="56"/>
      <c r="AE867" s="56"/>
      <c r="AF867" s="56"/>
      <c r="AG867" s="56"/>
      <c r="AH867" s="56"/>
      <c r="AI867" s="56"/>
      <c r="AJ867" s="56"/>
      <c r="AK867" s="56"/>
      <c r="AL867" s="56"/>
      <c r="AM867" s="56"/>
      <c r="AN867" s="56"/>
    </row>
    <row r="868" ht="13.5" customHeight="1">
      <c r="A868" s="55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</row>
    <row r="869" ht="13.5" customHeight="1">
      <c r="A869" s="55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  <c r="AC869" s="56"/>
      <c r="AD869" s="56"/>
      <c r="AE869" s="56"/>
      <c r="AF869" s="56"/>
      <c r="AG869" s="56"/>
      <c r="AH869" s="56"/>
      <c r="AI869" s="56"/>
      <c r="AJ869" s="56"/>
      <c r="AK869" s="56"/>
      <c r="AL869" s="56"/>
      <c r="AM869" s="56"/>
      <c r="AN869" s="56"/>
    </row>
    <row r="870" ht="13.5" customHeight="1">
      <c r="A870" s="55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  <c r="AC870" s="56"/>
      <c r="AD870" s="56"/>
      <c r="AE870" s="56"/>
      <c r="AF870" s="56"/>
      <c r="AG870" s="56"/>
      <c r="AH870" s="56"/>
      <c r="AI870" s="56"/>
      <c r="AJ870" s="56"/>
      <c r="AK870" s="56"/>
      <c r="AL870" s="56"/>
      <c r="AM870" s="56"/>
      <c r="AN870" s="56"/>
    </row>
    <row r="871" ht="13.5" customHeight="1">
      <c r="A871" s="55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  <c r="AC871" s="56"/>
      <c r="AD871" s="56"/>
      <c r="AE871" s="56"/>
      <c r="AF871" s="56"/>
      <c r="AG871" s="56"/>
      <c r="AH871" s="56"/>
      <c r="AI871" s="56"/>
      <c r="AJ871" s="56"/>
      <c r="AK871" s="56"/>
      <c r="AL871" s="56"/>
      <c r="AM871" s="56"/>
      <c r="AN871" s="56"/>
    </row>
    <row r="872" ht="13.5" customHeight="1">
      <c r="A872" s="55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  <c r="AC872" s="56"/>
      <c r="AD872" s="56"/>
      <c r="AE872" s="56"/>
      <c r="AF872" s="56"/>
      <c r="AG872" s="56"/>
      <c r="AH872" s="56"/>
      <c r="AI872" s="56"/>
      <c r="AJ872" s="56"/>
      <c r="AK872" s="56"/>
      <c r="AL872" s="56"/>
      <c r="AM872" s="56"/>
      <c r="AN872" s="56"/>
    </row>
    <row r="873" ht="13.5" customHeight="1">
      <c r="A873" s="55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  <c r="AC873" s="56"/>
      <c r="AD873" s="56"/>
      <c r="AE873" s="56"/>
      <c r="AF873" s="56"/>
      <c r="AG873" s="56"/>
      <c r="AH873" s="56"/>
      <c r="AI873" s="56"/>
      <c r="AJ873" s="56"/>
      <c r="AK873" s="56"/>
      <c r="AL873" s="56"/>
      <c r="AM873" s="56"/>
      <c r="AN873" s="56"/>
    </row>
    <row r="874" ht="13.5" customHeight="1">
      <c r="A874" s="55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  <c r="AC874" s="56"/>
      <c r="AD874" s="56"/>
      <c r="AE874" s="56"/>
      <c r="AF874" s="56"/>
      <c r="AG874" s="56"/>
      <c r="AH874" s="56"/>
      <c r="AI874" s="56"/>
      <c r="AJ874" s="56"/>
      <c r="AK874" s="56"/>
      <c r="AL874" s="56"/>
      <c r="AM874" s="56"/>
      <c r="AN874" s="56"/>
    </row>
    <row r="875" ht="13.5" customHeight="1">
      <c r="A875" s="55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  <c r="AC875" s="56"/>
      <c r="AD875" s="56"/>
      <c r="AE875" s="56"/>
      <c r="AF875" s="56"/>
      <c r="AG875" s="56"/>
      <c r="AH875" s="56"/>
      <c r="AI875" s="56"/>
      <c r="AJ875" s="56"/>
      <c r="AK875" s="56"/>
      <c r="AL875" s="56"/>
      <c r="AM875" s="56"/>
      <c r="AN875" s="56"/>
    </row>
    <row r="876" ht="13.5" customHeight="1">
      <c r="A876" s="55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</row>
    <row r="877" ht="13.5" customHeight="1">
      <c r="A877" s="55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  <c r="AC877" s="56"/>
      <c r="AD877" s="56"/>
      <c r="AE877" s="56"/>
      <c r="AF877" s="56"/>
      <c r="AG877" s="56"/>
      <c r="AH877" s="56"/>
      <c r="AI877" s="56"/>
      <c r="AJ877" s="56"/>
      <c r="AK877" s="56"/>
      <c r="AL877" s="56"/>
      <c r="AM877" s="56"/>
      <c r="AN877" s="56"/>
    </row>
    <row r="878" ht="13.5" customHeight="1">
      <c r="A878" s="55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  <c r="AC878" s="56"/>
      <c r="AD878" s="56"/>
      <c r="AE878" s="56"/>
      <c r="AF878" s="56"/>
      <c r="AG878" s="56"/>
      <c r="AH878" s="56"/>
      <c r="AI878" s="56"/>
      <c r="AJ878" s="56"/>
      <c r="AK878" s="56"/>
      <c r="AL878" s="56"/>
      <c r="AM878" s="56"/>
      <c r="AN878" s="56"/>
    </row>
    <row r="879" ht="13.5" customHeight="1">
      <c r="A879" s="55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</row>
    <row r="880" ht="13.5" customHeight="1">
      <c r="A880" s="55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</row>
    <row r="881" ht="13.5" customHeight="1">
      <c r="A881" s="55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</row>
    <row r="882" ht="13.5" customHeight="1">
      <c r="A882" s="55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  <c r="AC882" s="56"/>
      <c r="AD882" s="56"/>
      <c r="AE882" s="56"/>
      <c r="AF882" s="56"/>
      <c r="AG882" s="56"/>
      <c r="AH882" s="56"/>
      <c r="AI882" s="56"/>
      <c r="AJ882" s="56"/>
      <c r="AK882" s="56"/>
      <c r="AL882" s="56"/>
      <c r="AM882" s="56"/>
      <c r="AN882" s="56"/>
    </row>
    <row r="883" ht="13.5" customHeight="1">
      <c r="A883" s="55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  <c r="AC883" s="56"/>
      <c r="AD883" s="56"/>
      <c r="AE883" s="56"/>
      <c r="AF883" s="56"/>
      <c r="AG883" s="56"/>
      <c r="AH883" s="56"/>
      <c r="AI883" s="56"/>
      <c r="AJ883" s="56"/>
      <c r="AK883" s="56"/>
      <c r="AL883" s="56"/>
      <c r="AM883" s="56"/>
      <c r="AN883" s="56"/>
    </row>
    <row r="884" ht="13.5" customHeight="1">
      <c r="A884" s="55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</row>
    <row r="885" ht="13.5" customHeight="1">
      <c r="A885" s="55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</row>
    <row r="886" ht="13.5" customHeight="1">
      <c r="A886" s="55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  <c r="AC886" s="56"/>
      <c r="AD886" s="56"/>
      <c r="AE886" s="56"/>
      <c r="AF886" s="56"/>
      <c r="AG886" s="56"/>
      <c r="AH886" s="56"/>
      <c r="AI886" s="56"/>
      <c r="AJ886" s="56"/>
      <c r="AK886" s="56"/>
      <c r="AL886" s="56"/>
      <c r="AM886" s="56"/>
      <c r="AN886" s="56"/>
    </row>
    <row r="887" ht="13.5" customHeight="1">
      <c r="A887" s="55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</row>
    <row r="888" ht="13.5" customHeight="1">
      <c r="A888" s="55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</row>
    <row r="889" ht="13.5" customHeight="1">
      <c r="A889" s="55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  <c r="AC889" s="56"/>
      <c r="AD889" s="56"/>
      <c r="AE889" s="56"/>
      <c r="AF889" s="56"/>
      <c r="AG889" s="56"/>
      <c r="AH889" s="56"/>
      <c r="AI889" s="56"/>
      <c r="AJ889" s="56"/>
      <c r="AK889" s="56"/>
      <c r="AL889" s="56"/>
      <c r="AM889" s="56"/>
      <c r="AN889" s="56"/>
    </row>
    <row r="890" ht="13.5" customHeight="1">
      <c r="A890" s="55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  <c r="AC890" s="56"/>
      <c r="AD890" s="56"/>
      <c r="AE890" s="56"/>
      <c r="AF890" s="56"/>
      <c r="AG890" s="56"/>
      <c r="AH890" s="56"/>
      <c r="AI890" s="56"/>
      <c r="AJ890" s="56"/>
      <c r="AK890" s="56"/>
      <c r="AL890" s="56"/>
      <c r="AM890" s="56"/>
      <c r="AN890" s="56"/>
    </row>
    <row r="891" ht="13.5" customHeight="1">
      <c r="A891" s="55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  <c r="AC891" s="56"/>
      <c r="AD891" s="56"/>
      <c r="AE891" s="56"/>
      <c r="AF891" s="56"/>
      <c r="AG891" s="56"/>
      <c r="AH891" s="56"/>
      <c r="AI891" s="56"/>
      <c r="AJ891" s="56"/>
      <c r="AK891" s="56"/>
      <c r="AL891" s="56"/>
      <c r="AM891" s="56"/>
      <c r="AN891" s="56"/>
    </row>
    <row r="892" ht="13.5" customHeight="1">
      <c r="A892" s="55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  <c r="AC892" s="56"/>
      <c r="AD892" s="56"/>
      <c r="AE892" s="56"/>
      <c r="AF892" s="56"/>
      <c r="AG892" s="56"/>
      <c r="AH892" s="56"/>
      <c r="AI892" s="56"/>
      <c r="AJ892" s="56"/>
      <c r="AK892" s="56"/>
      <c r="AL892" s="56"/>
      <c r="AM892" s="56"/>
      <c r="AN892" s="56"/>
    </row>
    <row r="893" ht="13.5" customHeight="1">
      <c r="A893" s="55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</row>
    <row r="894" ht="13.5" customHeight="1">
      <c r="A894" s="55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  <c r="AC894" s="56"/>
      <c r="AD894" s="56"/>
      <c r="AE894" s="56"/>
      <c r="AF894" s="56"/>
      <c r="AG894" s="56"/>
      <c r="AH894" s="56"/>
      <c r="AI894" s="56"/>
      <c r="AJ894" s="56"/>
      <c r="AK894" s="56"/>
      <c r="AL894" s="56"/>
      <c r="AM894" s="56"/>
      <c r="AN894" s="56"/>
    </row>
    <row r="895" ht="13.5" customHeight="1">
      <c r="A895" s="55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  <c r="AC895" s="56"/>
      <c r="AD895" s="56"/>
      <c r="AE895" s="56"/>
      <c r="AF895" s="56"/>
      <c r="AG895" s="56"/>
      <c r="AH895" s="56"/>
      <c r="AI895" s="56"/>
      <c r="AJ895" s="56"/>
      <c r="AK895" s="56"/>
      <c r="AL895" s="56"/>
      <c r="AM895" s="56"/>
      <c r="AN895" s="56"/>
    </row>
    <row r="896" ht="13.5" customHeight="1">
      <c r="A896" s="55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  <c r="AC896" s="56"/>
      <c r="AD896" s="56"/>
      <c r="AE896" s="56"/>
      <c r="AF896" s="56"/>
      <c r="AG896" s="56"/>
      <c r="AH896" s="56"/>
      <c r="AI896" s="56"/>
      <c r="AJ896" s="56"/>
      <c r="AK896" s="56"/>
      <c r="AL896" s="56"/>
      <c r="AM896" s="56"/>
      <c r="AN896" s="56"/>
    </row>
    <row r="897" ht="13.5" customHeight="1">
      <c r="A897" s="55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</row>
    <row r="898" ht="13.5" customHeight="1">
      <c r="A898" s="55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  <c r="AC898" s="56"/>
      <c r="AD898" s="56"/>
      <c r="AE898" s="56"/>
      <c r="AF898" s="56"/>
      <c r="AG898" s="56"/>
      <c r="AH898" s="56"/>
      <c r="AI898" s="56"/>
      <c r="AJ898" s="56"/>
      <c r="AK898" s="56"/>
      <c r="AL898" s="56"/>
      <c r="AM898" s="56"/>
      <c r="AN898" s="56"/>
    </row>
    <row r="899" ht="13.5" customHeight="1">
      <c r="A899" s="55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</row>
    <row r="900" ht="13.5" customHeight="1">
      <c r="A900" s="55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  <c r="AC900" s="56"/>
      <c r="AD900" s="56"/>
      <c r="AE900" s="56"/>
      <c r="AF900" s="56"/>
      <c r="AG900" s="56"/>
      <c r="AH900" s="56"/>
      <c r="AI900" s="56"/>
      <c r="AJ900" s="56"/>
      <c r="AK900" s="56"/>
      <c r="AL900" s="56"/>
      <c r="AM900" s="56"/>
      <c r="AN900" s="56"/>
    </row>
    <row r="901" ht="13.5" customHeight="1">
      <c r="A901" s="55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</row>
    <row r="902" ht="13.5" customHeight="1">
      <c r="A902" s="55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  <c r="AC902" s="56"/>
      <c r="AD902" s="56"/>
      <c r="AE902" s="56"/>
      <c r="AF902" s="56"/>
      <c r="AG902" s="56"/>
      <c r="AH902" s="56"/>
      <c r="AI902" s="56"/>
      <c r="AJ902" s="56"/>
      <c r="AK902" s="56"/>
      <c r="AL902" s="56"/>
      <c r="AM902" s="56"/>
      <c r="AN902" s="56"/>
    </row>
    <row r="903" ht="13.5" customHeight="1">
      <c r="A903" s="55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  <c r="AC903" s="56"/>
      <c r="AD903" s="56"/>
      <c r="AE903" s="56"/>
      <c r="AF903" s="56"/>
      <c r="AG903" s="56"/>
      <c r="AH903" s="56"/>
      <c r="AI903" s="56"/>
      <c r="AJ903" s="56"/>
      <c r="AK903" s="56"/>
      <c r="AL903" s="56"/>
      <c r="AM903" s="56"/>
      <c r="AN903" s="56"/>
    </row>
    <row r="904" ht="13.5" customHeight="1">
      <c r="A904" s="55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  <c r="AC904" s="56"/>
      <c r="AD904" s="56"/>
      <c r="AE904" s="56"/>
      <c r="AF904" s="56"/>
      <c r="AG904" s="56"/>
      <c r="AH904" s="56"/>
      <c r="AI904" s="56"/>
      <c r="AJ904" s="56"/>
      <c r="AK904" s="56"/>
      <c r="AL904" s="56"/>
      <c r="AM904" s="56"/>
      <c r="AN904" s="56"/>
    </row>
    <row r="905" ht="13.5" customHeight="1">
      <c r="A905" s="55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  <c r="AC905" s="56"/>
      <c r="AD905" s="56"/>
      <c r="AE905" s="56"/>
      <c r="AF905" s="56"/>
      <c r="AG905" s="56"/>
      <c r="AH905" s="56"/>
      <c r="AI905" s="56"/>
      <c r="AJ905" s="56"/>
      <c r="AK905" s="56"/>
      <c r="AL905" s="56"/>
      <c r="AM905" s="56"/>
      <c r="AN905" s="56"/>
    </row>
    <row r="906" ht="13.5" customHeight="1">
      <c r="A906" s="55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  <c r="AC906" s="56"/>
      <c r="AD906" s="56"/>
      <c r="AE906" s="56"/>
      <c r="AF906" s="56"/>
      <c r="AG906" s="56"/>
      <c r="AH906" s="56"/>
      <c r="AI906" s="56"/>
      <c r="AJ906" s="56"/>
      <c r="AK906" s="56"/>
      <c r="AL906" s="56"/>
      <c r="AM906" s="56"/>
      <c r="AN906" s="56"/>
    </row>
    <row r="907" ht="13.5" customHeight="1">
      <c r="A907" s="55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  <c r="AC907" s="56"/>
      <c r="AD907" s="56"/>
      <c r="AE907" s="56"/>
      <c r="AF907" s="56"/>
      <c r="AG907" s="56"/>
      <c r="AH907" s="56"/>
      <c r="AI907" s="56"/>
      <c r="AJ907" s="56"/>
      <c r="AK907" s="56"/>
      <c r="AL907" s="56"/>
      <c r="AM907" s="56"/>
      <c r="AN907" s="56"/>
    </row>
    <row r="908" ht="13.5" customHeight="1">
      <c r="A908" s="55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  <c r="AC908" s="56"/>
      <c r="AD908" s="56"/>
      <c r="AE908" s="56"/>
      <c r="AF908" s="56"/>
      <c r="AG908" s="56"/>
      <c r="AH908" s="56"/>
      <c r="AI908" s="56"/>
      <c r="AJ908" s="56"/>
      <c r="AK908" s="56"/>
      <c r="AL908" s="56"/>
      <c r="AM908" s="56"/>
      <c r="AN908" s="56"/>
    </row>
    <row r="909" ht="13.5" customHeight="1">
      <c r="A909" s="55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</row>
    <row r="910" ht="13.5" customHeight="1">
      <c r="A910" s="55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</row>
    <row r="911" ht="13.5" customHeight="1">
      <c r="A911" s="55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</row>
    <row r="912" ht="13.5" customHeight="1">
      <c r="A912" s="55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</row>
    <row r="913" ht="13.5" customHeight="1">
      <c r="A913" s="55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  <c r="AC913" s="56"/>
      <c r="AD913" s="56"/>
      <c r="AE913" s="56"/>
      <c r="AF913" s="56"/>
      <c r="AG913" s="56"/>
      <c r="AH913" s="56"/>
      <c r="AI913" s="56"/>
      <c r="AJ913" s="56"/>
      <c r="AK913" s="56"/>
      <c r="AL913" s="56"/>
      <c r="AM913" s="56"/>
      <c r="AN913" s="56"/>
    </row>
    <row r="914" ht="13.5" customHeight="1">
      <c r="A914" s="55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  <c r="AC914" s="56"/>
      <c r="AD914" s="56"/>
      <c r="AE914" s="56"/>
      <c r="AF914" s="56"/>
      <c r="AG914" s="56"/>
      <c r="AH914" s="56"/>
      <c r="AI914" s="56"/>
      <c r="AJ914" s="56"/>
      <c r="AK914" s="56"/>
      <c r="AL914" s="56"/>
      <c r="AM914" s="56"/>
      <c r="AN914" s="56"/>
    </row>
    <row r="915" ht="13.5" customHeight="1">
      <c r="A915" s="55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</row>
    <row r="916" ht="13.5" customHeight="1">
      <c r="A916" s="55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</row>
    <row r="917" ht="13.5" customHeight="1">
      <c r="A917" s="55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</row>
    <row r="918" ht="13.5" customHeight="1">
      <c r="A918" s="55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</row>
    <row r="919" ht="13.5" customHeight="1">
      <c r="A919" s="55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  <c r="AC919" s="56"/>
      <c r="AD919" s="56"/>
      <c r="AE919" s="56"/>
      <c r="AF919" s="56"/>
      <c r="AG919" s="56"/>
      <c r="AH919" s="56"/>
      <c r="AI919" s="56"/>
      <c r="AJ919" s="56"/>
      <c r="AK919" s="56"/>
      <c r="AL919" s="56"/>
      <c r="AM919" s="56"/>
      <c r="AN919" s="56"/>
    </row>
    <row r="920" ht="13.5" customHeight="1">
      <c r="A920" s="55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  <c r="AC920" s="56"/>
      <c r="AD920" s="56"/>
      <c r="AE920" s="56"/>
      <c r="AF920" s="56"/>
      <c r="AG920" s="56"/>
      <c r="AH920" s="56"/>
      <c r="AI920" s="56"/>
      <c r="AJ920" s="56"/>
      <c r="AK920" s="56"/>
      <c r="AL920" s="56"/>
      <c r="AM920" s="56"/>
      <c r="AN920" s="56"/>
    </row>
    <row r="921" ht="13.5" customHeight="1">
      <c r="A921" s="55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  <c r="AC921" s="56"/>
      <c r="AD921" s="56"/>
      <c r="AE921" s="56"/>
      <c r="AF921" s="56"/>
      <c r="AG921" s="56"/>
      <c r="AH921" s="56"/>
      <c r="AI921" s="56"/>
      <c r="AJ921" s="56"/>
      <c r="AK921" s="56"/>
      <c r="AL921" s="56"/>
      <c r="AM921" s="56"/>
      <c r="AN921" s="56"/>
    </row>
    <row r="922" ht="13.5" customHeight="1">
      <c r="A922" s="55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  <c r="AC922" s="56"/>
      <c r="AD922" s="56"/>
      <c r="AE922" s="56"/>
      <c r="AF922" s="56"/>
      <c r="AG922" s="56"/>
      <c r="AH922" s="56"/>
      <c r="AI922" s="56"/>
      <c r="AJ922" s="56"/>
      <c r="AK922" s="56"/>
      <c r="AL922" s="56"/>
      <c r="AM922" s="56"/>
      <c r="AN922" s="56"/>
    </row>
    <row r="923" ht="13.5" customHeight="1">
      <c r="A923" s="55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  <c r="AC923" s="56"/>
      <c r="AD923" s="56"/>
      <c r="AE923" s="56"/>
      <c r="AF923" s="56"/>
      <c r="AG923" s="56"/>
      <c r="AH923" s="56"/>
      <c r="AI923" s="56"/>
      <c r="AJ923" s="56"/>
      <c r="AK923" s="56"/>
      <c r="AL923" s="56"/>
      <c r="AM923" s="56"/>
      <c r="AN923" s="56"/>
    </row>
    <row r="924" ht="13.5" customHeight="1">
      <c r="A924" s="55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</row>
    <row r="925" ht="13.5" customHeight="1">
      <c r="A925" s="55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</row>
    <row r="926" ht="13.5" customHeight="1">
      <c r="A926" s="55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</row>
    <row r="927" ht="13.5" customHeight="1">
      <c r="A927" s="55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  <c r="AC927" s="56"/>
      <c r="AD927" s="56"/>
      <c r="AE927" s="56"/>
      <c r="AF927" s="56"/>
      <c r="AG927" s="56"/>
      <c r="AH927" s="56"/>
      <c r="AI927" s="56"/>
      <c r="AJ927" s="56"/>
      <c r="AK927" s="56"/>
      <c r="AL927" s="56"/>
      <c r="AM927" s="56"/>
      <c r="AN927" s="56"/>
    </row>
    <row r="928" ht="13.5" customHeight="1">
      <c r="A928" s="55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</row>
    <row r="929" ht="13.5" customHeight="1">
      <c r="A929" s="55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  <c r="AC929" s="56"/>
      <c r="AD929" s="56"/>
      <c r="AE929" s="56"/>
      <c r="AF929" s="56"/>
      <c r="AG929" s="56"/>
      <c r="AH929" s="56"/>
      <c r="AI929" s="56"/>
      <c r="AJ929" s="56"/>
      <c r="AK929" s="56"/>
      <c r="AL929" s="56"/>
      <c r="AM929" s="56"/>
      <c r="AN929" s="56"/>
    </row>
    <row r="930" ht="13.5" customHeight="1">
      <c r="A930" s="55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  <c r="AC930" s="56"/>
      <c r="AD930" s="56"/>
      <c r="AE930" s="56"/>
      <c r="AF930" s="56"/>
      <c r="AG930" s="56"/>
      <c r="AH930" s="56"/>
      <c r="AI930" s="56"/>
      <c r="AJ930" s="56"/>
      <c r="AK930" s="56"/>
      <c r="AL930" s="56"/>
      <c r="AM930" s="56"/>
      <c r="AN930" s="56"/>
    </row>
    <row r="931" ht="13.5" customHeight="1">
      <c r="A931" s="55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  <c r="AC931" s="56"/>
      <c r="AD931" s="56"/>
      <c r="AE931" s="56"/>
      <c r="AF931" s="56"/>
      <c r="AG931" s="56"/>
      <c r="AH931" s="56"/>
      <c r="AI931" s="56"/>
      <c r="AJ931" s="56"/>
      <c r="AK931" s="56"/>
      <c r="AL931" s="56"/>
      <c r="AM931" s="56"/>
      <c r="AN931" s="56"/>
    </row>
    <row r="932" ht="13.5" customHeight="1">
      <c r="A932" s="55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</row>
    <row r="933" ht="13.5" customHeight="1">
      <c r="A933" s="55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</row>
    <row r="934" ht="13.5" customHeight="1">
      <c r="A934" s="55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  <c r="AC934" s="56"/>
      <c r="AD934" s="56"/>
      <c r="AE934" s="56"/>
      <c r="AF934" s="56"/>
      <c r="AG934" s="56"/>
      <c r="AH934" s="56"/>
      <c r="AI934" s="56"/>
      <c r="AJ934" s="56"/>
      <c r="AK934" s="56"/>
      <c r="AL934" s="56"/>
      <c r="AM934" s="56"/>
      <c r="AN934" s="56"/>
    </row>
    <row r="935" ht="13.5" customHeight="1">
      <c r="A935" s="55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  <c r="AC935" s="56"/>
      <c r="AD935" s="56"/>
      <c r="AE935" s="56"/>
      <c r="AF935" s="56"/>
      <c r="AG935" s="56"/>
      <c r="AH935" s="56"/>
      <c r="AI935" s="56"/>
      <c r="AJ935" s="56"/>
      <c r="AK935" s="56"/>
      <c r="AL935" s="56"/>
      <c r="AM935" s="56"/>
      <c r="AN935" s="56"/>
    </row>
    <row r="936" ht="13.5" customHeight="1">
      <c r="A936" s="55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  <c r="AC936" s="56"/>
      <c r="AD936" s="56"/>
      <c r="AE936" s="56"/>
      <c r="AF936" s="56"/>
      <c r="AG936" s="56"/>
      <c r="AH936" s="56"/>
      <c r="AI936" s="56"/>
      <c r="AJ936" s="56"/>
      <c r="AK936" s="56"/>
      <c r="AL936" s="56"/>
      <c r="AM936" s="56"/>
      <c r="AN936" s="56"/>
    </row>
    <row r="937" ht="13.5" customHeight="1">
      <c r="A937" s="55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</row>
    <row r="938" ht="13.5" customHeight="1">
      <c r="A938" s="55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</row>
    <row r="939" ht="13.5" customHeight="1">
      <c r="A939" s="55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  <c r="AC939" s="56"/>
      <c r="AD939" s="56"/>
      <c r="AE939" s="56"/>
      <c r="AF939" s="56"/>
      <c r="AG939" s="56"/>
      <c r="AH939" s="56"/>
      <c r="AI939" s="56"/>
      <c r="AJ939" s="56"/>
      <c r="AK939" s="56"/>
      <c r="AL939" s="56"/>
      <c r="AM939" s="56"/>
      <c r="AN939" s="56"/>
    </row>
    <row r="940" ht="13.5" customHeight="1">
      <c r="A940" s="55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  <c r="AC940" s="56"/>
      <c r="AD940" s="56"/>
      <c r="AE940" s="56"/>
      <c r="AF940" s="56"/>
      <c r="AG940" s="56"/>
      <c r="AH940" s="56"/>
      <c r="AI940" s="56"/>
      <c r="AJ940" s="56"/>
      <c r="AK940" s="56"/>
      <c r="AL940" s="56"/>
      <c r="AM940" s="56"/>
      <c r="AN940" s="56"/>
    </row>
    <row r="941" ht="13.5" customHeight="1">
      <c r="A941" s="55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  <c r="AC941" s="56"/>
      <c r="AD941" s="56"/>
      <c r="AE941" s="56"/>
      <c r="AF941" s="56"/>
      <c r="AG941" s="56"/>
      <c r="AH941" s="56"/>
      <c r="AI941" s="56"/>
      <c r="AJ941" s="56"/>
      <c r="AK941" s="56"/>
      <c r="AL941" s="56"/>
      <c r="AM941" s="56"/>
      <c r="AN941" s="56"/>
    </row>
    <row r="942" ht="13.5" customHeight="1">
      <c r="A942" s="55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  <c r="AC942" s="56"/>
      <c r="AD942" s="56"/>
      <c r="AE942" s="56"/>
      <c r="AF942" s="56"/>
      <c r="AG942" s="56"/>
      <c r="AH942" s="56"/>
      <c r="AI942" s="56"/>
      <c r="AJ942" s="56"/>
      <c r="AK942" s="56"/>
      <c r="AL942" s="56"/>
      <c r="AM942" s="56"/>
      <c r="AN942" s="56"/>
    </row>
    <row r="943" ht="13.5" customHeight="1">
      <c r="A943" s="55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  <c r="AC943" s="56"/>
      <c r="AD943" s="56"/>
      <c r="AE943" s="56"/>
      <c r="AF943" s="56"/>
      <c r="AG943" s="56"/>
      <c r="AH943" s="56"/>
      <c r="AI943" s="56"/>
      <c r="AJ943" s="56"/>
      <c r="AK943" s="56"/>
      <c r="AL943" s="56"/>
      <c r="AM943" s="56"/>
      <c r="AN943" s="56"/>
    </row>
    <row r="944" ht="13.5" customHeight="1">
      <c r="A944" s="55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</row>
    <row r="945" ht="13.5" customHeight="1">
      <c r="A945" s="55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  <c r="AC945" s="56"/>
      <c r="AD945" s="56"/>
      <c r="AE945" s="56"/>
      <c r="AF945" s="56"/>
      <c r="AG945" s="56"/>
      <c r="AH945" s="56"/>
      <c r="AI945" s="56"/>
      <c r="AJ945" s="56"/>
      <c r="AK945" s="56"/>
      <c r="AL945" s="56"/>
      <c r="AM945" s="56"/>
      <c r="AN945" s="56"/>
    </row>
    <row r="946" ht="13.5" customHeight="1">
      <c r="A946" s="55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  <c r="AC946" s="56"/>
      <c r="AD946" s="56"/>
      <c r="AE946" s="56"/>
      <c r="AF946" s="56"/>
      <c r="AG946" s="56"/>
      <c r="AH946" s="56"/>
      <c r="AI946" s="56"/>
      <c r="AJ946" s="56"/>
      <c r="AK946" s="56"/>
      <c r="AL946" s="56"/>
      <c r="AM946" s="56"/>
      <c r="AN946" s="56"/>
    </row>
    <row r="947" ht="13.5" customHeight="1">
      <c r="A947" s="55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</row>
    <row r="948" ht="13.5" customHeight="1">
      <c r="A948" s="55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  <c r="AC948" s="56"/>
      <c r="AD948" s="56"/>
      <c r="AE948" s="56"/>
      <c r="AF948" s="56"/>
      <c r="AG948" s="56"/>
      <c r="AH948" s="56"/>
      <c r="AI948" s="56"/>
      <c r="AJ948" s="56"/>
      <c r="AK948" s="56"/>
      <c r="AL948" s="56"/>
      <c r="AM948" s="56"/>
      <c r="AN948" s="56"/>
    </row>
    <row r="949" ht="13.5" customHeight="1">
      <c r="A949" s="55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  <c r="AC949" s="56"/>
      <c r="AD949" s="56"/>
      <c r="AE949" s="56"/>
      <c r="AF949" s="56"/>
      <c r="AG949" s="56"/>
      <c r="AH949" s="56"/>
      <c r="AI949" s="56"/>
      <c r="AJ949" s="56"/>
      <c r="AK949" s="56"/>
      <c r="AL949" s="56"/>
      <c r="AM949" s="56"/>
      <c r="AN949" s="56"/>
    </row>
    <row r="950" ht="13.5" customHeight="1">
      <c r="A950" s="55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  <c r="AC950" s="56"/>
      <c r="AD950" s="56"/>
      <c r="AE950" s="56"/>
      <c r="AF950" s="56"/>
      <c r="AG950" s="56"/>
      <c r="AH950" s="56"/>
      <c r="AI950" s="56"/>
      <c r="AJ950" s="56"/>
      <c r="AK950" s="56"/>
      <c r="AL950" s="56"/>
      <c r="AM950" s="56"/>
      <c r="AN950" s="56"/>
    </row>
    <row r="951" ht="13.5" customHeight="1">
      <c r="A951" s="55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  <c r="AC951" s="56"/>
      <c r="AD951" s="56"/>
      <c r="AE951" s="56"/>
      <c r="AF951" s="56"/>
      <c r="AG951" s="56"/>
      <c r="AH951" s="56"/>
      <c r="AI951" s="56"/>
      <c r="AJ951" s="56"/>
      <c r="AK951" s="56"/>
      <c r="AL951" s="56"/>
      <c r="AM951" s="56"/>
      <c r="AN951" s="56"/>
    </row>
    <row r="952" ht="13.5" customHeight="1">
      <c r="A952" s="55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</row>
    <row r="953" ht="13.5" customHeight="1">
      <c r="A953" s="55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</row>
    <row r="954" ht="13.5" customHeight="1">
      <c r="A954" s="55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</row>
    <row r="955" ht="13.5" customHeight="1">
      <c r="A955" s="55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</row>
    <row r="956" ht="13.5" customHeight="1">
      <c r="A956" s="55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</row>
    <row r="957" ht="13.5" customHeight="1">
      <c r="A957" s="55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</row>
    <row r="958" ht="13.5" customHeight="1">
      <c r="A958" s="55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</row>
    <row r="959" ht="13.5" customHeight="1">
      <c r="A959" s="55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  <c r="AC959" s="56"/>
      <c r="AD959" s="56"/>
      <c r="AE959" s="56"/>
      <c r="AF959" s="56"/>
      <c r="AG959" s="56"/>
      <c r="AH959" s="56"/>
      <c r="AI959" s="56"/>
      <c r="AJ959" s="56"/>
      <c r="AK959" s="56"/>
      <c r="AL959" s="56"/>
      <c r="AM959" s="56"/>
      <c r="AN959" s="56"/>
    </row>
    <row r="960" ht="13.5" customHeight="1">
      <c r="A960" s="55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  <c r="AC960" s="56"/>
      <c r="AD960" s="56"/>
      <c r="AE960" s="56"/>
      <c r="AF960" s="56"/>
      <c r="AG960" s="56"/>
      <c r="AH960" s="56"/>
      <c r="AI960" s="56"/>
      <c r="AJ960" s="56"/>
      <c r="AK960" s="56"/>
      <c r="AL960" s="56"/>
      <c r="AM960" s="56"/>
      <c r="AN960" s="56"/>
    </row>
    <row r="961" ht="13.5" customHeight="1">
      <c r="A961" s="55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</row>
    <row r="962" ht="13.5" customHeight="1">
      <c r="A962" s="55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</row>
    <row r="963" ht="13.5" customHeight="1">
      <c r="A963" s="55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</row>
    <row r="964" ht="13.5" customHeight="1">
      <c r="A964" s="55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  <c r="AC964" s="56"/>
      <c r="AD964" s="56"/>
      <c r="AE964" s="56"/>
      <c r="AF964" s="56"/>
      <c r="AG964" s="56"/>
      <c r="AH964" s="56"/>
      <c r="AI964" s="56"/>
      <c r="AJ964" s="56"/>
      <c r="AK964" s="56"/>
      <c r="AL964" s="56"/>
      <c r="AM964" s="56"/>
      <c r="AN964" s="56"/>
    </row>
    <row r="965" ht="13.5" customHeight="1">
      <c r="A965" s="55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  <c r="AC965" s="56"/>
      <c r="AD965" s="56"/>
      <c r="AE965" s="56"/>
      <c r="AF965" s="56"/>
      <c r="AG965" s="56"/>
      <c r="AH965" s="56"/>
      <c r="AI965" s="56"/>
      <c r="AJ965" s="56"/>
      <c r="AK965" s="56"/>
      <c r="AL965" s="56"/>
      <c r="AM965" s="56"/>
      <c r="AN965" s="56"/>
    </row>
    <row r="966" ht="13.5" customHeight="1">
      <c r="A966" s="55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56"/>
    </row>
    <row r="967" ht="13.5" customHeight="1">
      <c r="A967" s="55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</row>
    <row r="968" ht="13.5" customHeight="1">
      <c r="A968" s="55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56"/>
    </row>
    <row r="969" ht="13.5" customHeight="1">
      <c r="A969" s="55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56"/>
    </row>
    <row r="970" ht="13.5" customHeight="1">
      <c r="A970" s="55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</row>
    <row r="971" ht="13.5" customHeight="1">
      <c r="A971" s="55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56"/>
    </row>
    <row r="972" ht="13.5" customHeight="1">
      <c r="A972" s="55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56"/>
    </row>
    <row r="973" ht="13.5" customHeight="1">
      <c r="A973" s="55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</row>
    <row r="974" ht="13.5" customHeight="1">
      <c r="A974" s="55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</row>
    <row r="975" ht="13.5" customHeight="1">
      <c r="A975" s="55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</row>
    <row r="976" ht="13.5" customHeight="1">
      <c r="A976" s="55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</row>
    <row r="977" ht="13.5" customHeight="1">
      <c r="A977" s="55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</row>
    <row r="978" ht="13.5" customHeight="1">
      <c r="A978" s="55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</row>
    <row r="979" ht="13.5" customHeight="1">
      <c r="A979" s="55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</row>
    <row r="980" ht="13.5" customHeight="1">
      <c r="A980" s="55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</row>
    <row r="981" ht="13.5" customHeight="1">
      <c r="A981" s="55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</row>
    <row r="982" ht="13.5" customHeight="1">
      <c r="A982" s="55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</row>
    <row r="983" ht="13.5" customHeight="1">
      <c r="A983" s="55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</row>
    <row r="984" ht="13.5" customHeight="1">
      <c r="A984" s="55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  <c r="AC984" s="56"/>
      <c r="AD984" s="56"/>
      <c r="AE984" s="56"/>
      <c r="AF984" s="56"/>
      <c r="AG984" s="56"/>
      <c r="AH984" s="56"/>
      <c r="AI984" s="56"/>
      <c r="AJ984" s="56"/>
      <c r="AK984" s="56"/>
      <c r="AL984" s="56"/>
      <c r="AM984" s="56"/>
      <c r="AN984" s="56"/>
    </row>
    <row r="985" ht="13.5" customHeight="1">
      <c r="A985" s="55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  <c r="AC985" s="56"/>
      <c r="AD985" s="56"/>
      <c r="AE985" s="56"/>
      <c r="AF985" s="56"/>
      <c r="AG985" s="56"/>
      <c r="AH985" s="56"/>
      <c r="AI985" s="56"/>
      <c r="AJ985" s="56"/>
      <c r="AK985" s="56"/>
      <c r="AL985" s="56"/>
      <c r="AM985" s="56"/>
      <c r="AN985" s="56"/>
    </row>
    <row r="986" ht="13.5" customHeight="1">
      <c r="A986" s="55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</row>
    <row r="987" ht="13.5" customHeight="1">
      <c r="A987" s="55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  <c r="AA987" s="56"/>
      <c r="AB987" s="56"/>
      <c r="AC987" s="56"/>
      <c r="AD987" s="56"/>
      <c r="AE987" s="56"/>
      <c r="AF987" s="56"/>
      <c r="AG987" s="56"/>
      <c r="AH987" s="56"/>
      <c r="AI987" s="56"/>
      <c r="AJ987" s="56"/>
      <c r="AK987" s="56"/>
      <c r="AL987" s="56"/>
      <c r="AM987" s="56"/>
      <c r="AN987" s="56"/>
    </row>
    <row r="988" ht="13.5" customHeight="1">
      <c r="A988" s="55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</row>
    <row r="989" ht="13.5" customHeight="1">
      <c r="A989" s="55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  <c r="AA989" s="56"/>
      <c r="AB989" s="56"/>
      <c r="AC989" s="56"/>
      <c r="AD989" s="56"/>
      <c r="AE989" s="56"/>
      <c r="AF989" s="56"/>
      <c r="AG989" s="56"/>
      <c r="AH989" s="56"/>
      <c r="AI989" s="56"/>
      <c r="AJ989" s="56"/>
      <c r="AK989" s="56"/>
      <c r="AL989" s="56"/>
      <c r="AM989" s="56"/>
      <c r="AN989" s="56"/>
    </row>
    <row r="990" ht="13.5" customHeight="1">
      <c r="A990" s="55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</row>
    <row r="991" ht="13.5" customHeight="1">
      <c r="A991" s="55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</row>
    <row r="992" ht="13.5" customHeight="1">
      <c r="A992" s="55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</row>
    <row r="993" ht="13.5" customHeight="1">
      <c r="A993" s="55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  <c r="AA993" s="56"/>
      <c r="AB993" s="56"/>
      <c r="AC993" s="56"/>
      <c r="AD993" s="56"/>
      <c r="AE993" s="56"/>
      <c r="AF993" s="56"/>
      <c r="AG993" s="56"/>
      <c r="AH993" s="56"/>
      <c r="AI993" s="56"/>
      <c r="AJ993" s="56"/>
      <c r="AK993" s="56"/>
      <c r="AL993" s="56"/>
      <c r="AM993" s="56"/>
      <c r="AN993" s="56"/>
    </row>
    <row r="994" ht="13.5" customHeight="1">
      <c r="A994" s="55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56"/>
      <c r="AL994" s="56"/>
      <c r="AM994" s="56"/>
      <c r="AN994" s="56"/>
    </row>
    <row r="995" ht="13.5" customHeight="1">
      <c r="A995" s="55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</row>
    <row r="996" ht="13.5" customHeight="1">
      <c r="A996" s="55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  <c r="AA996" s="56"/>
      <c r="AB996" s="56"/>
      <c r="AC996" s="56"/>
      <c r="AD996" s="56"/>
      <c r="AE996" s="56"/>
      <c r="AF996" s="56"/>
      <c r="AG996" s="56"/>
      <c r="AH996" s="56"/>
      <c r="AI996" s="56"/>
      <c r="AJ996" s="56"/>
      <c r="AK996" s="56"/>
      <c r="AL996" s="56"/>
      <c r="AM996" s="56"/>
      <c r="AN996" s="56"/>
    </row>
    <row r="997" ht="13.5" customHeight="1">
      <c r="A997" s="55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  <c r="AA997" s="56"/>
      <c r="AB997" s="56"/>
      <c r="AC997" s="56"/>
      <c r="AD997" s="56"/>
      <c r="AE997" s="56"/>
      <c r="AF997" s="56"/>
      <c r="AG997" s="56"/>
      <c r="AH997" s="56"/>
      <c r="AI997" s="56"/>
      <c r="AJ997" s="56"/>
      <c r="AK997" s="56"/>
      <c r="AL997" s="56"/>
      <c r="AM997" s="56"/>
      <c r="AN997" s="56"/>
    </row>
  </sheetData>
  <mergeCells count="3">
    <mergeCell ref="B1:W2"/>
    <mergeCell ref="A2:A3"/>
    <mergeCell ref="B3:W3"/>
  </mergeCells>
  <printOptions/>
  <pageMargins bottom="0.1968503937007874" footer="0.0" header="0.0" left="0.2362204724409449" right="0.2362204724409449" top="0.1968503937007874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26.0"/>
    <col customWidth="1" min="6" max="26" width="10.71"/>
  </cols>
  <sheetData>
    <row r="2">
      <c r="C2" s="1" t="s">
        <v>0</v>
      </c>
    </row>
    <row r="6">
      <c r="C6" s="2">
        <v>0.25</v>
      </c>
      <c r="D6" s="4">
        <v>0.5</v>
      </c>
      <c r="E6" s="5"/>
      <c r="F6" s="6">
        <v>0.25</v>
      </c>
    </row>
    <row r="8">
      <c r="C8" s="1" t="s">
        <v>2</v>
      </c>
      <c r="D8" s="1" t="s">
        <v>3</v>
      </c>
      <c r="F8" s="1" t="s">
        <v>4</v>
      </c>
    </row>
    <row r="9">
      <c r="C9" s="1" t="s">
        <v>5</v>
      </c>
    </row>
    <row r="10">
      <c r="C10" s="1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6:E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