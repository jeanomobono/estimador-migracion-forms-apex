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ÓN" sheetId="1" r:id="rId4"/>
  </sheets>
  <definedNames/>
  <calcPr/>
  <extLst>
    <ext uri="GoogleSheetsCustomDataVersion2">
      <go:sheetsCustomData xmlns:go="http://customooxmlschemas.google.com/" r:id="rId5" roundtripDataChecksum="UEnG62mZbAkJvAzu8wn0WbYrMz9JuwIGMncgrQaCtAo="/>
    </ext>
  </extLst>
</workbook>
</file>

<file path=xl/sharedStrings.xml><?xml version="1.0" encoding="utf-8"?>
<sst xmlns="http://schemas.openxmlformats.org/spreadsheetml/2006/main" count="92" uniqueCount="88">
  <si>
    <t>Estimación de desarrollo</t>
  </si>
  <si>
    <r>
      <rPr>
        <rFont val="Franklin Gothic Book"/>
        <b/>
        <color theme="1"/>
        <sz val="16.0"/>
      </rPr>
      <t>CLIENTE</t>
    </r>
    <r>
      <rPr>
        <rFont val="Franklin Gothic Book"/>
        <b/>
        <color theme="1"/>
        <sz val="14.0"/>
      </rPr>
      <t xml:space="preserve"> - Proyecto</t>
    </r>
  </si>
  <si>
    <t>Clasificacion por tipo de programa y por complejidad    /    Horas standard de programacion (O.F.)</t>
  </si>
  <si>
    <t>Modulos</t>
  </si>
  <si>
    <t>Desa.</t>
  </si>
  <si>
    <t>Si/No</t>
  </si>
  <si>
    <t>FS</t>
  </si>
  <si>
    <t>FSC</t>
  </si>
  <si>
    <t>FC</t>
  </si>
  <si>
    <t>FMC</t>
  </si>
  <si>
    <t>FMC+</t>
  </si>
  <si>
    <t>BS</t>
  </si>
  <si>
    <t>BSC</t>
  </si>
  <si>
    <t>BC</t>
  </si>
  <si>
    <t>BMC</t>
  </si>
  <si>
    <t>BMC+</t>
  </si>
  <si>
    <t>RS</t>
  </si>
  <si>
    <t>RSC</t>
  </si>
  <si>
    <t>RC</t>
  </si>
  <si>
    <t>RMC</t>
  </si>
  <si>
    <t>RMC+</t>
  </si>
  <si>
    <t>Menu</t>
  </si>
  <si>
    <t>Total Pgm</t>
  </si>
  <si>
    <t xml:space="preserve">   Puntos Funcionales</t>
  </si>
  <si>
    <t>ref.</t>
  </si>
  <si>
    <t>calculo</t>
  </si>
  <si>
    <t xml:space="preserve"> %</t>
  </si>
  <si>
    <t>Modif.</t>
  </si>
  <si>
    <t xml:space="preserve"> 1/0</t>
  </si>
  <si>
    <t>BCD001.fmb</t>
  </si>
  <si>
    <t>BCD002.fmb</t>
  </si>
  <si>
    <t>BCD003.fmb</t>
  </si>
  <si>
    <t>BCD004.fmb</t>
  </si>
  <si>
    <t>BCD005.fmb</t>
  </si>
  <si>
    <t>BCD006.fmb</t>
  </si>
  <si>
    <t>BCD020.fmb</t>
  </si>
  <si>
    <t>BCD021.fmb</t>
  </si>
  <si>
    <t>BCD022.fmb</t>
  </si>
  <si>
    <t>BCD023.fmb</t>
  </si>
  <si>
    <t>bcd080.fmb</t>
  </si>
  <si>
    <t>PCD001.fmb</t>
  </si>
  <si>
    <t>bm001.fmb</t>
  </si>
  <si>
    <t>bm003.fmb</t>
  </si>
  <si>
    <t>bm003a.fmb</t>
  </si>
  <si>
    <t>ipc004.fmb</t>
  </si>
  <si>
    <t>IPC005.fmb</t>
  </si>
  <si>
    <t>MR204.fmb</t>
  </si>
  <si>
    <t>UTL002.fmb</t>
  </si>
  <si>
    <t>PWD001.fmb</t>
  </si>
  <si>
    <t>SF023.fmb</t>
  </si>
  <si>
    <t>BCD010.fmb</t>
  </si>
  <si>
    <t>BCD011.fmb</t>
  </si>
  <si>
    <t>BCD012.fmb</t>
  </si>
  <si>
    <t>TOTAL Programación</t>
  </si>
  <si>
    <t>HORAS Totales</t>
  </si>
  <si>
    <t xml:space="preserve"> Programacion (incluyendo prueba unitaria)</t>
  </si>
  <si>
    <t>(1)</t>
  </si>
  <si>
    <t xml:space="preserve"> Prueba funcional e integracion (incluye correccion bugs)</t>
  </si>
  <si>
    <t>(2)</t>
  </si>
  <si>
    <t>(1) x %</t>
  </si>
  <si>
    <t xml:space="preserve"> Subtotal Contruccion</t>
  </si>
  <si>
    <t>(3)</t>
  </si>
  <si>
    <t>(1) + (2)</t>
  </si>
  <si>
    <t xml:space="preserve"> Administracion</t>
  </si>
  <si>
    <t>(4)</t>
  </si>
  <si>
    <t>(3) x %</t>
  </si>
  <si>
    <t xml:space="preserve"> Control de Calidad</t>
  </si>
  <si>
    <t>(5)</t>
  </si>
  <si>
    <t xml:space="preserve"> DBA</t>
  </si>
  <si>
    <t>(6)</t>
  </si>
  <si>
    <t xml:space="preserve"> Documentacion</t>
  </si>
  <si>
    <t>(7)</t>
  </si>
  <si>
    <t xml:space="preserve"> Total Contruccion</t>
  </si>
  <si>
    <t>(8)</t>
  </si>
  <si>
    <t>suma</t>
  </si>
  <si>
    <t>HORAS Totales por Etapa CASE</t>
  </si>
  <si>
    <t>dias</t>
  </si>
  <si>
    <t>sem.</t>
  </si>
  <si>
    <t>per</t>
  </si>
  <si>
    <t>sem</t>
  </si>
  <si>
    <t>meses</t>
  </si>
  <si>
    <t xml:space="preserve"> Estrategia</t>
  </si>
  <si>
    <t>% suma</t>
  </si>
  <si>
    <t xml:space="preserve"> Análisis</t>
  </si>
  <si>
    <t xml:space="preserve"> Diseño de Base de Datos (tablas)</t>
  </si>
  <si>
    <t xml:space="preserve"> Construcción</t>
  </si>
  <si>
    <t xml:space="preserve"> Transición</t>
  </si>
  <si>
    <t>TOTAL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</si>
</sst>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Open Sans"/>
      <scheme val="minor"/>
    </font>
    <font>
      <sz val="10.0"/>
      <color rgb="FF000000"/>
      <name val="Open Sans"/>
    </font>
    <font>
      <b/>
      <sz val="18.0"/>
      <color theme="1"/>
      <name val="Libre Franklin"/>
    </font>
    <font/>
    <font>
      <sz val="10.0"/>
      <color theme="1"/>
      <name val="Libre Franklin"/>
    </font>
    <font>
      <b/>
      <sz val="14.0"/>
      <color theme="1"/>
      <name val="Libre Franklin"/>
    </font>
    <font>
      <b/>
      <sz val="10.0"/>
      <color theme="1"/>
      <name val="Libre Franklin"/>
    </font>
    <font>
      <sz val="8.0"/>
      <color theme="1"/>
      <name val="Libre Franklin"/>
    </font>
    <font>
      <b/>
      <i/>
      <sz val="10.0"/>
      <color theme="1"/>
      <name val="Libre Franklin"/>
    </font>
  </fonts>
  <fills count="7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D23632"/>
        <bgColor rgb="FFD23632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quotePrefix="1" borderId="10" fillId="3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9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quotePrefix="1" borderId="0" fillId="0" fontId="4" numFmtId="0" xfId="0" applyAlignment="1" applyFont="1">
      <alignment horizontal="center" vertical="center"/>
    </xf>
    <xf quotePrefix="1" borderId="13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quotePrefix="1" borderId="14" fillId="0" fontId="6" numFmtId="0" xfId="0" applyAlignment="1" applyBorder="1" applyFont="1">
      <alignment horizontal="left" shrinkToFit="0" vertical="center" wrapText="1"/>
    </xf>
    <xf borderId="15" fillId="0" fontId="4" numFmtId="0" xfId="0" applyAlignment="1" applyBorder="1" applyFont="1">
      <alignment horizontal="center" vertical="center"/>
    </xf>
    <xf quotePrefix="1" borderId="15" fillId="0" fontId="6" numFmtId="0" xfId="0" applyAlignment="1" applyBorder="1" applyFont="1">
      <alignment horizontal="center" vertical="center"/>
    </xf>
    <xf quotePrefix="1"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readingOrder="0" vertical="center"/>
    </xf>
    <xf borderId="13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readingOrder="0" shrinkToFit="0" vertical="center" wrapText="1"/>
    </xf>
    <xf borderId="17" fillId="3" fontId="4" numFmtId="0" xfId="0" applyAlignment="1" applyBorder="1" applyFont="1">
      <alignment horizontal="left" shrinkToFit="0" vertical="center" wrapText="1"/>
    </xf>
    <xf borderId="18" fillId="3" fontId="4" numFmtId="0" xfId="0" applyAlignment="1" applyBorder="1" applyFont="1">
      <alignment horizontal="center" vertical="center"/>
    </xf>
    <xf borderId="19" fillId="3" fontId="4" numFmtId="0" xfId="0" applyAlignment="1" applyBorder="1" applyFont="1">
      <alignment horizontal="center" vertical="center"/>
    </xf>
    <xf borderId="13" fillId="0" fontId="4" numFmtId="1" xfId="0" applyAlignment="1" applyBorder="1" applyFont="1" applyNumberFormat="1">
      <alignment horizontal="center" vertical="center"/>
    </xf>
    <xf quotePrefix="1" borderId="9" fillId="0" fontId="4" numFmtId="0" xfId="0" applyAlignment="1" applyBorder="1" applyFont="1">
      <alignment horizontal="left" shrinkToFit="0" vertical="center" wrapText="1"/>
    </xf>
    <xf borderId="20" fillId="3" fontId="4" numFmtId="0" xfId="0" applyAlignment="1" applyBorder="1" applyFont="1">
      <alignment horizontal="center" vertical="center"/>
    </xf>
    <xf quotePrefix="1" borderId="9" fillId="0" fontId="6" numFmtId="0" xfId="0" applyAlignment="1" applyBorder="1" applyFont="1">
      <alignment horizontal="left" shrinkToFit="0" vertical="center" wrapText="1"/>
    </xf>
    <xf borderId="21" fillId="5" fontId="6" numFmtId="1" xfId="0" applyAlignment="1" applyBorder="1" applyFill="1" applyFont="1" applyNumberForma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3" fillId="0" fontId="6" numFmtId="0" xfId="0" applyAlignment="1" applyBorder="1" applyFont="1">
      <alignment horizontal="center" vertical="center"/>
    </xf>
    <xf borderId="20" fillId="3" fontId="6" numFmtId="0" xfId="0" applyAlignment="1" applyBorder="1" applyFont="1">
      <alignment horizontal="center" vertical="center"/>
    </xf>
    <xf borderId="13" fillId="0" fontId="6" numFmtId="2" xfId="0" applyAlignment="1" applyBorder="1" applyFont="1" applyNumberFormat="1">
      <alignment horizontal="center" vertical="center"/>
    </xf>
    <xf borderId="20" fillId="3" fontId="6" numFmtId="0" xfId="0" applyAlignment="1" applyBorder="1" applyFont="1">
      <alignment horizontal="center" readingOrder="0" vertical="center"/>
    </xf>
    <xf quotePrefix="1" borderId="22" fillId="0" fontId="6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horizontal="center" vertical="center"/>
    </xf>
    <xf borderId="23" fillId="6" fontId="6" numFmtId="1" xfId="0" applyAlignment="1" applyBorder="1" applyFill="1" applyFont="1" applyNumberForma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6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1.0"/>
    <col customWidth="1" min="2" max="2" width="3.57"/>
    <col customWidth="1" min="3" max="3" width="7.57"/>
    <col customWidth="1" min="4" max="4" width="4.43"/>
    <col customWidth="1" min="5" max="5" width="6.0"/>
    <col customWidth="1" min="6" max="8" width="5.57"/>
    <col customWidth="1" min="9" max="9" width="4.43"/>
    <col customWidth="1" min="10" max="10" width="4.71"/>
    <col customWidth="1" min="11" max="11" width="5.86"/>
    <col customWidth="1" min="12" max="12" width="3.14"/>
    <col customWidth="1" min="13" max="13" width="4.29"/>
    <col customWidth="1" min="14" max="14" width="3.29"/>
    <col customWidth="1" min="15" max="15" width="4.86"/>
    <col customWidth="1" min="16" max="16" width="6.0"/>
    <col customWidth="1" min="17" max="17" width="3.14"/>
    <col customWidth="1" min="18" max="18" width="4.29"/>
    <col customWidth="1" min="19" max="19" width="3.29"/>
    <col customWidth="1" min="20" max="20" width="4.86"/>
    <col customWidth="1" min="21" max="21" width="6.0"/>
    <col customWidth="1" min="22" max="22" width="5.57"/>
    <col customWidth="1" min="23" max="23" width="10.29"/>
    <col customWidth="1" min="24" max="24" width="5.14"/>
    <col customWidth="1" min="25" max="25" width="5.71"/>
    <col customWidth="1" min="26" max="26" width="4.29"/>
    <col customWidth="1" min="27" max="27" width="5.14"/>
    <col customWidth="1" min="28" max="28" width="7.29"/>
    <col customWidth="1" min="29" max="33" width="4.71"/>
    <col customWidth="1" min="34" max="34" width="6.29"/>
    <col customWidth="1" min="35" max="40" width="4.71"/>
  </cols>
  <sheetData>
    <row r="1" ht="36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ht="13.5" customHeight="1">
      <c r="A2" s="6" t="s">
        <v>1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ht="13.5" customHeight="1">
      <c r="A3" s="10"/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ht="13.5" customHeight="1">
      <c r="A4" s="14" t="s">
        <v>3</v>
      </c>
      <c r="B4" s="15"/>
      <c r="C4" s="15"/>
      <c r="D4" s="15"/>
      <c r="E4" s="16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17" t="s">
        <v>22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ht="13.5" customHeight="1">
      <c r="A5" s="19" t="s">
        <v>23</v>
      </c>
      <c r="B5" s="20" t="s">
        <v>24</v>
      </c>
      <c r="C5" s="20" t="s">
        <v>25</v>
      </c>
      <c r="D5" s="21" t="s">
        <v>26</v>
      </c>
      <c r="E5" s="22" t="s">
        <v>27</v>
      </c>
      <c r="F5" s="22" t="s">
        <v>28</v>
      </c>
      <c r="G5" s="20">
        <v>4.0</v>
      </c>
      <c r="H5" s="20">
        <v>12.0</v>
      </c>
      <c r="I5" s="20">
        <v>24.0</v>
      </c>
      <c r="J5" s="20">
        <v>32.0</v>
      </c>
      <c r="K5" s="20">
        <v>80.0</v>
      </c>
      <c r="L5" s="20">
        <v>4.0</v>
      </c>
      <c r="M5" s="20">
        <v>8.0</v>
      </c>
      <c r="N5" s="20">
        <v>24.0</v>
      </c>
      <c r="O5" s="20">
        <v>32.0</v>
      </c>
      <c r="P5" s="20">
        <v>80.0</v>
      </c>
      <c r="Q5" s="20">
        <v>4.0</v>
      </c>
      <c r="R5" s="20">
        <v>8.0</v>
      </c>
      <c r="S5" s="20">
        <v>24.0</v>
      </c>
      <c r="T5" s="20">
        <v>40.0</v>
      </c>
      <c r="U5" s="20">
        <v>64.0</v>
      </c>
      <c r="V5" s="20">
        <v>4.0</v>
      </c>
      <c r="W5" s="23"/>
      <c r="X5" s="5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ht="13.5" customHeight="1">
      <c r="A6" s="24" t="s">
        <v>29</v>
      </c>
      <c r="B6" s="5"/>
      <c r="C6" s="5"/>
      <c r="D6" s="5"/>
      <c r="E6" s="5"/>
      <c r="F6" s="5"/>
      <c r="G6" s="5"/>
      <c r="H6" s="5"/>
      <c r="I6" s="5"/>
      <c r="J6" s="5"/>
      <c r="K6" s="25">
        <v>1.0</v>
      </c>
      <c r="L6" s="25">
        <v>1.0</v>
      </c>
      <c r="M6" s="25"/>
      <c r="N6" s="5"/>
      <c r="O6" s="5"/>
      <c r="P6" s="5"/>
      <c r="Q6" s="5"/>
      <c r="R6" s="5"/>
      <c r="S6" s="5"/>
      <c r="T6" s="5"/>
      <c r="U6" s="5"/>
      <c r="V6" s="5"/>
      <c r="W6" s="26">
        <f t="shared" ref="W6:W35" si="1">G6*G$5+H6*H$5+I6*I$5+J6*J$5+K6*K$5+L6*L$5+M6*M$5+N6*N$5+O6*O$5+P6*P$5+Q6*Q$5+R6*R$5+S6*S$5+T6*T$5+U6*U$5+V6*V$5</f>
        <v>84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ht="13.5" customHeight="1">
      <c r="A7" s="24" t="s">
        <v>30</v>
      </c>
      <c r="B7" s="5"/>
      <c r="C7" s="5"/>
      <c r="D7" s="5"/>
      <c r="E7" s="5"/>
      <c r="F7" s="5"/>
      <c r="G7" s="25">
        <v>1.0</v>
      </c>
      <c r="H7" s="5"/>
      <c r="I7" s="5"/>
      <c r="J7" s="5"/>
      <c r="K7" s="5"/>
      <c r="L7" s="25">
        <v>1.0</v>
      </c>
      <c r="M7" s="5"/>
      <c r="N7" s="5"/>
      <c r="O7" s="5"/>
      <c r="P7" s="5"/>
      <c r="Q7" s="5"/>
      <c r="R7" s="5"/>
      <c r="S7" s="5"/>
      <c r="T7" s="5"/>
      <c r="U7" s="5"/>
      <c r="V7" s="5"/>
      <c r="W7" s="26">
        <f t="shared" si="1"/>
        <v>8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ht="13.5" customHeight="1">
      <c r="A8" s="24" t="s">
        <v>31</v>
      </c>
      <c r="B8" s="5"/>
      <c r="C8" s="5"/>
      <c r="D8" s="5"/>
      <c r="E8" s="5"/>
      <c r="F8" s="5"/>
      <c r="G8" s="5"/>
      <c r="H8" s="5"/>
      <c r="I8" s="5"/>
      <c r="J8" s="5"/>
      <c r="K8" s="25">
        <v>1.0</v>
      </c>
      <c r="L8" s="5"/>
      <c r="M8" s="5"/>
      <c r="N8" s="25">
        <v>1.0</v>
      </c>
      <c r="O8" s="5"/>
      <c r="P8" s="5"/>
      <c r="Q8" s="5"/>
      <c r="R8" s="5"/>
      <c r="S8" s="5"/>
      <c r="T8" s="5"/>
      <c r="U8" s="5"/>
      <c r="V8" s="5"/>
      <c r="W8" s="26">
        <f t="shared" si="1"/>
        <v>104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ht="13.5" customHeight="1">
      <c r="A9" s="24" t="s">
        <v>32</v>
      </c>
      <c r="B9" s="5"/>
      <c r="C9" s="5"/>
      <c r="D9" s="5"/>
      <c r="E9" s="5"/>
      <c r="F9" s="5"/>
      <c r="G9" s="5"/>
      <c r="H9" s="5"/>
      <c r="I9" s="5"/>
      <c r="J9" s="5"/>
      <c r="K9" s="25">
        <v>1.0</v>
      </c>
      <c r="L9" s="25">
        <v>1.0</v>
      </c>
      <c r="M9" s="25"/>
      <c r="N9" s="5"/>
      <c r="O9" s="5"/>
      <c r="P9" s="5"/>
      <c r="Q9" s="5"/>
      <c r="R9" s="5"/>
      <c r="S9" s="5"/>
      <c r="T9" s="5"/>
      <c r="U9" s="5"/>
      <c r="V9" s="5"/>
      <c r="W9" s="26">
        <f t="shared" si="1"/>
        <v>84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ht="13.5" customHeight="1">
      <c r="A10" s="24" t="s">
        <v>33</v>
      </c>
      <c r="B10" s="5"/>
      <c r="C10" s="5"/>
      <c r="D10" s="5"/>
      <c r="E10" s="5"/>
      <c r="F10" s="5"/>
      <c r="G10" s="5"/>
      <c r="H10" s="5"/>
      <c r="I10" s="5"/>
      <c r="J10" s="5"/>
      <c r="K10" s="25">
        <v>1.0</v>
      </c>
      <c r="L10" s="25">
        <v>1.0</v>
      </c>
      <c r="M10" s="25"/>
      <c r="N10" s="5"/>
      <c r="O10" s="5"/>
      <c r="P10" s="5"/>
      <c r="Q10" s="5"/>
      <c r="R10" s="5"/>
      <c r="S10" s="5"/>
      <c r="T10" s="5"/>
      <c r="U10" s="5"/>
      <c r="V10" s="5"/>
      <c r="W10" s="26">
        <f t="shared" si="1"/>
        <v>84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ht="13.5" customHeight="1">
      <c r="A11" s="24" t="s">
        <v>34</v>
      </c>
      <c r="B11" s="5"/>
      <c r="C11" s="5"/>
      <c r="D11" s="5"/>
      <c r="E11" s="5"/>
      <c r="F11" s="5"/>
      <c r="G11" s="5"/>
      <c r="H11" s="5"/>
      <c r="I11" s="5"/>
      <c r="J11" s="25">
        <v>1.0</v>
      </c>
      <c r="K11" s="5"/>
      <c r="L11" s="5"/>
      <c r="M11" s="25">
        <v>1.0</v>
      </c>
      <c r="N11" s="5"/>
      <c r="O11" s="5"/>
      <c r="P11" s="5"/>
      <c r="Q11" s="5"/>
      <c r="R11" s="5"/>
      <c r="S11" s="5"/>
      <c r="T11" s="5"/>
      <c r="U11" s="5"/>
      <c r="V11" s="5"/>
      <c r="W11" s="26">
        <f t="shared" si="1"/>
        <v>40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3.5" customHeight="1">
      <c r="A12" s="24" t="s">
        <v>35</v>
      </c>
      <c r="B12" s="5"/>
      <c r="C12" s="5"/>
      <c r="D12" s="5"/>
      <c r="E12" s="5"/>
      <c r="F12" s="5"/>
      <c r="G12" s="5"/>
      <c r="H12" s="5"/>
      <c r="I12" s="5"/>
      <c r="J12" s="5"/>
      <c r="K12" s="25">
        <v>1.0</v>
      </c>
      <c r="L12" s="5"/>
      <c r="M12" s="5"/>
      <c r="N12" s="25"/>
      <c r="O12" s="25">
        <v>2.0</v>
      </c>
      <c r="P12" s="25"/>
      <c r="Q12" s="5"/>
      <c r="R12" s="5"/>
      <c r="S12" s="5"/>
      <c r="T12" s="5"/>
      <c r="U12" s="5"/>
      <c r="V12" s="5"/>
      <c r="W12" s="26">
        <f t="shared" si="1"/>
        <v>144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ht="13.5" customHeight="1">
      <c r="A13" s="24" t="s">
        <v>36</v>
      </c>
      <c r="B13" s="5"/>
      <c r="C13" s="5"/>
      <c r="D13" s="5"/>
      <c r="E13" s="5"/>
      <c r="F13" s="5"/>
      <c r="G13" s="5"/>
      <c r="H13" s="5"/>
      <c r="I13" s="5"/>
      <c r="J13" s="5"/>
      <c r="K13" s="25">
        <v>1.0</v>
      </c>
      <c r="L13" s="5"/>
      <c r="M13" s="5"/>
      <c r="N13" s="5"/>
      <c r="O13" s="5"/>
      <c r="P13" s="25">
        <v>1.0</v>
      </c>
      <c r="Q13" s="5"/>
      <c r="R13" s="5"/>
      <c r="S13" s="5"/>
      <c r="T13" s="5"/>
      <c r="U13" s="5"/>
      <c r="V13" s="5"/>
      <c r="W13" s="26">
        <f t="shared" si="1"/>
        <v>160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3.5" customHeight="1">
      <c r="A14" s="24" t="s">
        <v>37</v>
      </c>
      <c r="B14" s="5"/>
      <c r="C14" s="5"/>
      <c r="D14" s="5"/>
      <c r="E14" s="5"/>
      <c r="F14" s="5"/>
      <c r="G14" s="5"/>
      <c r="H14" s="5"/>
      <c r="I14" s="5"/>
      <c r="J14" s="5"/>
      <c r="K14" s="25">
        <v>1.0</v>
      </c>
      <c r="L14" s="5"/>
      <c r="M14" s="5"/>
      <c r="N14" s="25">
        <v>2.0</v>
      </c>
      <c r="O14" s="25"/>
      <c r="P14" s="5"/>
      <c r="Q14" s="5"/>
      <c r="R14" s="5"/>
      <c r="S14" s="5"/>
      <c r="T14" s="5"/>
      <c r="U14" s="5"/>
      <c r="V14" s="5"/>
      <c r="W14" s="26">
        <f t="shared" si="1"/>
        <v>128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3.5" customHeight="1">
      <c r="A15" s="24" t="s">
        <v>38</v>
      </c>
      <c r="B15" s="5"/>
      <c r="C15" s="5"/>
      <c r="D15" s="5"/>
      <c r="E15" s="5"/>
      <c r="F15" s="5"/>
      <c r="G15" s="5"/>
      <c r="H15" s="5"/>
      <c r="I15" s="5"/>
      <c r="J15" s="5"/>
      <c r="K15" s="25">
        <v>1.0</v>
      </c>
      <c r="L15" s="5"/>
      <c r="M15" s="5"/>
      <c r="N15" s="25"/>
      <c r="O15" s="25">
        <v>2.0</v>
      </c>
      <c r="P15" s="5"/>
      <c r="Q15" s="5"/>
      <c r="R15" s="5"/>
      <c r="S15" s="5"/>
      <c r="T15" s="5"/>
      <c r="U15" s="5"/>
      <c r="V15" s="5"/>
      <c r="W15" s="26">
        <f t="shared" si="1"/>
        <v>144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ht="13.5" customHeight="1">
      <c r="A16" s="24" t="s">
        <v>39</v>
      </c>
      <c r="B16" s="5"/>
      <c r="C16" s="5"/>
      <c r="D16" s="5"/>
      <c r="E16" s="5"/>
      <c r="F16" s="5"/>
      <c r="G16" s="5"/>
      <c r="H16" s="5"/>
      <c r="I16" s="5"/>
      <c r="J16" s="5"/>
      <c r="K16" s="25">
        <v>1.0</v>
      </c>
      <c r="L16" s="5"/>
      <c r="M16" s="5"/>
      <c r="N16" s="25">
        <v>1.0</v>
      </c>
      <c r="O16" s="5"/>
      <c r="P16" s="5"/>
      <c r="Q16" s="5"/>
      <c r="R16" s="5"/>
      <c r="S16" s="5"/>
      <c r="T16" s="5"/>
      <c r="U16" s="5"/>
      <c r="V16" s="5"/>
      <c r="W16" s="26">
        <f t="shared" si="1"/>
        <v>104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ht="13.5" customHeight="1">
      <c r="A17" s="24" t="s">
        <v>40</v>
      </c>
      <c r="B17" s="5"/>
      <c r="C17" s="5"/>
      <c r="D17" s="5"/>
      <c r="E17" s="5"/>
      <c r="F17" s="5"/>
      <c r="G17" s="5"/>
      <c r="H17" s="5"/>
      <c r="I17" s="5"/>
      <c r="J17" s="5"/>
      <c r="K17" s="25">
        <v>1.0</v>
      </c>
      <c r="L17" s="5"/>
      <c r="M17" s="5"/>
      <c r="N17" s="25">
        <v>1.0</v>
      </c>
      <c r="O17" s="5"/>
      <c r="P17" s="5"/>
      <c r="Q17" s="5"/>
      <c r="R17" s="5"/>
      <c r="S17" s="5"/>
      <c r="T17" s="5"/>
      <c r="U17" s="5"/>
      <c r="V17" s="5"/>
      <c r="W17" s="26">
        <f t="shared" si="1"/>
        <v>104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3.5" customHeight="1">
      <c r="A18" s="24" t="s">
        <v>41</v>
      </c>
      <c r="B18" s="5"/>
      <c r="C18" s="5"/>
      <c r="D18" s="5"/>
      <c r="E18" s="5"/>
      <c r="F18" s="5"/>
      <c r="G18" s="5"/>
      <c r="H18" s="5"/>
      <c r="I18" s="25">
        <v>1.0</v>
      </c>
      <c r="J18" s="5"/>
      <c r="K18" s="5"/>
      <c r="L18" s="5"/>
      <c r="M18" s="25">
        <v>1.0</v>
      </c>
      <c r="N18" s="5"/>
      <c r="O18" s="5"/>
      <c r="P18" s="5"/>
      <c r="Q18" s="5"/>
      <c r="R18" s="5"/>
      <c r="S18" s="5"/>
      <c r="T18" s="5"/>
      <c r="U18" s="5"/>
      <c r="V18" s="5"/>
      <c r="W18" s="26">
        <f t="shared" si="1"/>
        <v>32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ht="13.5" customHeight="1">
      <c r="A19" s="24" t="s">
        <v>42</v>
      </c>
      <c r="B19" s="5"/>
      <c r="C19" s="5"/>
      <c r="D19" s="5"/>
      <c r="E19" s="5"/>
      <c r="F19" s="5"/>
      <c r="G19" s="5"/>
      <c r="H19" s="5"/>
      <c r="I19" s="5"/>
      <c r="J19" s="5"/>
      <c r="K19" s="25">
        <v>1.0</v>
      </c>
      <c r="L19" s="5"/>
      <c r="M19" s="5"/>
      <c r="N19" s="25">
        <v>1.0</v>
      </c>
      <c r="O19" s="5"/>
      <c r="P19" s="5"/>
      <c r="Q19" s="5"/>
      <c r="R19" s="5"/>
      <c r="S19" s="5"/>
      <c r="T19" s="5"/>
      <c r="U19" s="5"/>
      <c r="V19" s="5"/>
      <c r="W19" s="26">
        <f t="shared" si="1"/>
        <v>104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ht="13.5" customHeight="1">
      <c r="A20" s="24" t="s">
        <v>43</v>
      </c>
      <c r="B20" s="5"/>
      <c r="C20" s="5"/>
      <c r="D20" s="5"/>
      <c r="E20" s="5"/>
      <c r="F20" s="5"/>
      <c r="G20" s="5"/>
      <c r="H20" s="5"/>
      <c r="I20" s="25">
        <v>1.0</v>
      </c>
      <c r="J20" s="5"/>
      <c r="K20" s="5"/>
      <c r="L20" s="5"/>
      <c r="M20" s="25">
        <v>1.0</v>
      </c>
      <c r="N20" s="5"/>
      <c r="O20" s="5"/>
      <c r="P20" s="5"/>
      <c r="Q20" s="5"/>
      <c r="R20" s="5"/>
      <c r="S20" s="5"/>
      <c r="T20" s="5"/>
      <c r="U20" s="5"/>
      <c r="V20" s="5"/>
      <c r="W20" s="26">
        <f t="shared" si="1"/>
        <v>32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ht="13.5" customHeight="1">
      <c r="A21" s="24" t="s">
        <v>44</v>
      </c>
      <c r="B21" s="5"/>
      <c r="C21" s="5"/>
      <c r="D21" s="5"/>
      <c r="E21" s="5"/>
      <c r="F21" s="5"/>
      <c r="G21" s="5"/>
      <c r="H21" s="5"/>
      <c r="I21" s="5"/>
      <c r="J21" s="5"/>
      <c r="K21" s="25">
        <v>1.0</v>
      </c>
      <c r="L21" s="5"/>
      <c r="M21" s="5"/>
      <c r="N21" s="25">
        <v>2.0</v>
      </c>
      <c r="O21" s="25"/>
      <c r="P21" s="5"/>
      <c r="Q21" s="5"/>
      <c r="R21" s="5"/>
      <c r="S21" s="5"/>
      <c r="T21" s="5"/>
      <c r="U21" s="5"/>
      <c r="V21" s="5"/>
      <c r="W21" s="26">
        <f t="shared" si="1"/>
        <v>128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ht="13.5" customHeight="1">
      <c r="A22" s="24" t="s">
        <v>45</v>
      </c>
      <c r="B22" s="5"/>
      <c r="C22" s="5"/>
      <c r="D22" s="5"/>
      <c r="E22" s="5"/>
      <c r="F22" s="5"/>
      <c r="G22" s="25">
        <v>1.0</v>
      </c>
      <c r="H22" s="5"/>
      <c r="I22" s="5"/>
      <c r="J22" s="5"/>
      <c r="K22" s="5"/>
      <c r="L22" s="25">
        <v>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26">
        <f t="shared" si="1"/>
        <v>8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ht="13.5" customHeight="1">
      <c r="A23" s="24" t="s">
        <v>46</v>
      </c>
      <c r="B23" s="5"/>
      <c r="C23" s="5"/>
      <c r="D23" s="5"/>
      <c r="E23" s="5"/>
      <c r="F23" s="5"/>
      <c r="G23" s="5"/>
      <c r="H23" s="5"/>
      <c r="I23" s="5"/>
      <c r="J23" s="5"/>
      <c r="K23" s="25">
        <v>1.0</v>
      </c>
      <c r="L23" s="5"/>
      <c r="M23" s="5"/>
      <c r="N23" s="25"/>
      <c r="O23" s="25">
        <v>2.0</v>
      </c>
      <c r="P23" s="25"/>
      <c r="Q23" s="5"/>
      <c r="R23" s="5"/>
      <c r="S23" s="5"/>
      <c r="T23" s="5"/>
      <c r="U23" s="5"/>
      <c r="V23" s="5"/>
      <c r="W23" s="26">
        <f t="shared" si="1"/>
        <v>144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ht="13.5" customHeight="1">
      <c r="A24" s="24" t="s">
        <v>47</v>
      </c>
      <c r="B24" s="5"/>
      <c r="C24" s="5"/>
      <c r="D24" s="5"/>
      <c r="E24" s="5"/>
      <c r="F24" s="5"/>
      <c r="G24" s="5"/>
      <c r="H24" s="5"/>
      <c r="I24" s="5"/>
      <c r="J24" s="5"/>
      <c r="K24" s="25">
        <v>1.0</v>
      </c>
      <c r="L24" s="25">
        <v>1.0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26">
        <f t="shared" si="1"/>
        <v>84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ht="13.5" customHeight="1">
      <c r="A25" s="24" t="s">
        <v>48</v>
      </c>
      <c r="B25" s="5"/>
      <c r="C25" s="5"/>
      <c r="D25" s="5"/>
      <c r="E25" s="5"/>
      <c r="F25" s="5"/>
      <c r="G25" s="5"/>
      <c r="H25" s="25">
        <v>1.0</v>
      </c>
      <c r="I25" s="5"/>
      <c r="J25" s="5"/>
      <c r="K25" s="5"/>
      <c r="L25" s="5"/>
      <c r="M25" s="25">
        <v>1.0</v>
      </c>
      <c r="N25" s="5"/>
      <c r="O25" s="5"/>
      <c r="P25" s="5"/>
      <c r="Q25" s="5"/>
      <c r="R25" s="5"/>
      <c r="S25" s="5"/>
      <c r="T25" s="5"/>
      <c r="U25" s="5"/>
      <c r="V25" s="5"/>
      <c r="W25" s="26">
        <f t="shared" si="1"/>
        <v>20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ht="13.5" customHeight="1">
      <c r="A26" s="24" t="s">
        <v>49</v>
      </c>
      <c r="B26" s="5"/>
      <c r="C26" s="5"/>
      <c r="D26" s="5"/>
      <c r="E26" s="5"/>
      <c r="F26" s="5"/>
      <c r="G26" s="5"/>
      <c r="H26" s="5"/>
      <c r="I26" s="5"/>
      <c r="J26" s="25">
        <v>1.0</v>
      </c>
      <c r="K26" s="5"/>
      <c r="L26" s="5"/>
      <c r="M26" s="25">
        <v>1.0</v>
      </c>
      <c r="N26" s="5"/>
      <c r="O26" s="5"/>
      <c r="P26" s="5"/>
      <c r="Q26" s="5"/>
      <c r="R26" s="5"/>
      <c r="S26" s="5"/>
      <c r="T26" s="5"/>
      <c r="U26" s="5"/>
      <c r="V26" s="5"/>
      <c r="W26" s="26">
        <f t="shared" si="1"/>
        <v>40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ht="13.5" customHeight="1">
      <c r="A27" s="27" t="s">
        <v>50</v>
      </c>
      <c r="B27" s="5"/>
      <c r="C27" s="5"/>
      <c r="D27" s="5"/>
      <c r="E27" s="5"/>
      <c r="F27" s="5"/>
      <c r="G27" s="5"/>
      <c r="H27" s="5"/>
      <c r="I27" s="5"/>
      <c r="J27" s="5"/>
      <c r="K27" s="25">
        <v>1.0</v>
      </c>
      <c r="L27" s="5"/>
      <c r="M27" s="5"/>
      <c r="N27" s="5"/>
      <c r="O27" s="5"/>
      <c r="P27" s="25">
        <v>1.0</v>
      </c>
      <c r="Q27" s="5"/>
      <c r="R27" s="5"/>
      <c r="S27" s="5"/>
      <c r="T27" s="5"/>
      <c r="U27" s="5"/>
      <c r="V27" s="5"/>
      <c r="W27" s="26">
        <f t="shared" si="1"/>
        <v>160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ht="13.5" customHeight="1">
      <c r="A28" s="27" t="s">
        <v>51</v>
      </c>
      <c r="B28" s="5"/>
      <c r="C28" s="5"/>
      <c r="D28" s="5"/>
      <c r="E28" s="5"/>
      <c r="F28" s="5"/>
      <c r="G28" s="5"/>
      <c r="H28" s="5"/>
      <c r="I28" s="25">
        <v>1.0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6">
        <f t="shared" si="1"/>
        <v>24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ht="13.5" customHeight="1">
      <c r="A29" s="27" t="s">
        <v>52</v>
      </c>
      <c r="B29" s="5"/>
      <c r="C29" s="5"/>
      <c r="D29" s="5"/>
      <c r="E29" s="5"/>
      <c r="F29" s="5"/>
      <c r="G29" s="5"/>
      <c r="H29" s="5"/>
      <c r="I29" s="5"/>
      <c r="J29" s="25">
        <v>1.0</v>
      </c>
      <c r="K29" s="5"/>
      <c r="L29" s="5"/>
      <c r="M29" s="5"/>
      <c r="N29" s="25">
        <v>1.0</v>
      </c>
      <c r="O29" s="5"/>
      <c r="P29" s="5"/>
      <c r="Q29" s="5"/>
      <c r="R29" s="5"/>
      <c r="S29" s="5"/>
      <c r="T29" s="5"/>
      <c r="U29" s="5"/>
      <c r="V29" s="5"/>
      <c r="W29" s="26">
        <f t="shared" si="1"/>
        <v>56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ht="13.5" customHeight="1">
      <c r="A30" s="2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26">
        <f t="shared" si="1"/>
        <v>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ht="13.5" customHeight="1">
      <c r="A31" s="2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26">
        <f t="shared" si="1"/>
        <v>0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ht="13.5" customHeight="1">
      <c r="A32" s="2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26">
        <f t="shared" si="1"/>
        <v>0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ht="13.5" customHeight="1">
      <c r="A33" s="2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26">
        <f t="shared" si="1"/>
        <v>0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ht="13.5" customHeight="1">
      <c r="A34" s="2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26">
        <f t="shared" si="1"/>
        <v>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ht="13.5" customHeight="1">
      <c r="A35" s="2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26">
        <f t="shared" si="1"/>
        <v>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ht="13.5" customHeight="1">
      <c r="A36" s="28" t="s">
        <v>53</v>
      </c>
      <c r="B36" s="29"/>
      <c r="C36" s="29"/>
      <c r="D36" s="29"/>
      <c r="E36" s="29"/>
      <c r="F36" s="29">
        <f t="shared" ref="F36:V36" si="2">SUM(F6:F35)</f>
        <v>0</v>
      </c>
      <c r="G36" s="29">
        <f t="shared" si="2"/>
        <v>2</v>
      </c>
      <c r="H36" s="29">
        <f t="shared" si="2"/>
        <v>1</v>
      </c>
      <c r="I36" s="29">
        <f t="shared" si="2"/>
        <v>3</v>
      </c>
      <c r="J36" s="29">
        <f t="shared" si="2"/>
        <v>3</v>
      </c>
      <c r="K36" s="29">
        <f t="shared" si="2"/>
        <v>15</v>
      </c>
      <c r="L36" s="29">
        <f t="shared" si="2"/>
        <v>6</v>
      </c>
      <c r="M36" s="29">
        <f t="shared" si="2"/>
        <v>5</v>
      </c>
      <c r="N36" s="29">
        <f t="shared" si="2"/>
        <v>9</v>
      </c>
      <c r="O36" s="29">
        <f t="shared" si="2"/>
        <v>6</v>
      </c>
      <c r="P36" s="29">
        <f t="shared" si="2"/>
        <v>2</v>
      </c>
      <c r="Q36" s="29">
        <f t="shared" si="2"/>
        <v>0</v>
      </c>
      <c r="R36" s="29">
        <f t="shared" si="2"/>
        <v>0</v>
      </c>
      <c r="S36" s="29">
        <f t="shared" si="2"/>
        <v>0</v>
      </c>
      <c r="T36" s="29">
        <f t="shared" si="2"/>
        <v>0</v>
      </c>
      <c r="U36" s="29">
        <f t="shared" si="2"/>
        <v>0</v>
      </c>
      <c r="V36" s="29">
        <f t="shared" si="2"/>
        <v>0</v>
      </c>
      <c r="W36" s="30">
        <f>SUM(G36:V36)</f>
        <v>52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ht="13.5" customHeight="1">
      <c r="A37" s="14"/>
      <c r="B37" s="15"/>
      <c r="C37" s="15"/>
      <c r="D37" s="1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31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ht="13.5" customHeight="1">
      <c r="A38" s="14" t="s">
        <v>54</v>
      </c>
      <c r="B38" s="15"/>
      <c r="C38" s="1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31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ht="13.5" customHeight="1">
      <c r="A39" s="32" t="s">
        <v>55</v>
      </c>
      <c r="B39" s="16" t="s">
        <v>56</v>
      </c>
      <c r="C39" s="5"/>
      <c r="D39" s="5"/>
      <c r="E39" s="5"/>
      <c r="F39" s="5"/>
      <c r="G39" s="5">
        <f t="shared" ref="G39:V39" si="3">+G36*G5</f>
        <v>8</v>
      </c>
      <c r="H39" s="5">
        <f t="shared" si="3"/>
        <v>12</v>
      </c>
      <c r="I39" s="5">
        <f t="shared" si="3"/>
        <v>72</v>
      </c>
      <c r="J39" s="5">
        <f t="shared" si="3"/>
        <v>96</v>
      </c>
      <c r="K39" s="5">
        <f t="shared" si="3"/>
        <v>1200</v>
      </c>
      <c r="L39" s="5">
        <f t="shared" si="3"/>
        <v>24</v>
      </c>
      <c r="M39" s="5">
        <f t="shared" si="3"/>
        <v>40</v>
      </c>
      <c r="N39" s="5">
        <f t="shared" si="3"/>
        <v>216</v>
      </c>
      <c r="O39" s="5">
        <f t="shared" si="3"/>
        <v>192</v>
      </c>
      <c r="P39" s="5">
        <f t="shared" si="3"/>
        <v>160</v>
      </c>
      <c r="Q39" s="5">
        <f t="shared" si="3"/>
        <v>0</v>
      </c>
      <c r="R39" s="5">
        <f t="shared" si="3"/>
        <v>0</v>
      </c>
      <c r="S39" s="5">
        <f t="shared" si="3"/>
        <v>0</v>
      </c>
      <c r="T39" s="5">
        <f t="shared" si="3"/>
        <v>0</v>
      </c>
      <c r="U39" s="5">
        <f t="shared" si="3"/>
        <v>0</v>
      </c>
      <c r="V39" s="5">
        <f t="shared" si="3"/>
        <v>0</v>
      </c>
      <c r="W39" s="31">
        <f>SUM(G39:V39)</f>
        <v>2020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ht="13.5" customHeight="1">
      <c r="A40" s="32" t="s">
        <v>57</v>
      </c>
      <c r="B40" s="16" t="s">
        <v>58</v>
      </c>
      <c r="C40" s="16" t="s">
        <v>59</v>
      </c>
      <c r="D40" s="33">
        <v>25.0</v>
      </c>
      <c r="E40" s="5">
        <v>25.0</v>
      </c>
      <c r="F40" s="5"/>
      <c r="G40" s="5">
        <f>G39*D40/100</f>
        <v>2</v>
      </c>
      <c r="H40" s="5">
        <f>H39*D40/100</f>
        <v>3</v>
      </c>
      <c r="I40" s="5">
        <f>I39*D40/100</f>
        <v>18</v>
      </c>
      <c r="J40" s="5">
        <f>J39*D40/100</f>
        <v>24</v>
      </c>
      <c r="K40" s="5">
        <f>K39*D40/100</f>
        <v>300</v>
      </c>
      <c r="L40" s="5">
        <f>L39*D40/100</f>
        <v>6</v>
      </c>
      <c r="M40" s="5">
        <f>M39*D40/100</f>
        <v>10</v>
      </c>
      <c r="N40" s="5">
        <f>N39*D40/100</f>
        <v>54</v>
      </c>
      <c r="O40" s="5">
        <f>O39*D40/100</f>
        <v>48</v>
      </c>
      <c r="P40" s="5">
        <f>P39*D40/100</f>
        <v>40</v>
      </c>
      <c r="Q40" s="5">
        <f>Q39*D40/100</f>
        <v>0</v>
      </c>
      <c r="R40" s="5">
        <f>R39*D40/100</f>
        <v>0</v>
      </c>
      <c r="S40" s="5">
        <f>S39*D40/100</f>
        <v>0</v>
      </c>
      <c r="T40" s="5">
        <f>T39*D40/100</f>
        <v>0</v>
      </c>
      <c r="U40" s="5">
        <f>U39*D40/100</f>
        <v>0</v>
      </c>
      <c r="V40" s="5">
        <f>V39*D40/100</f>
        <v>0</v>
      </c>
      <c r="W40" s="31">
        <f>+W39*D40/100</f>
        <v>505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ht="13.5" customHeight="1">
      <c r="A41" s="34" t="s">
        <v>60</v>
      </c>
      <c r="B41" s="16" t="s">
        <v>61</v>
      </c>
      <c r="C41" s="16" t="s">
        <v>62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31">
        <f>+W39+W40</f>
        <v>2525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ht="13.5" customHeight="1">
      <c r="A42" s="32" t="s">
        <v>63</v>
      </c>
      <c r="B42" s="16" t="s">
        <v>64</v>
      </c>
      <c r="C42" s="16" t="s">
        <v>65</v>
      </c>
      <c r="D42" s="33">
        <v>20.0</v>
      </c>
      <c r="E42" s="5">
        <v>12.0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31">
        <f t="shared" ref="W42:W45" si="4">+W$41*D42/100</f>
        <v>505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ht="13.5" customHeight="1">
      <c r="A43" s="32" t="s">
        <v>66</v>
      </c>
      <c r="B43" s="16" t="s">
        <v>67</v>
      </c>
      <c r="C43" s="16" t="s">
        <v>65</v>
      </c>
      <c r="D43" s="33">
        <v>0.0</v>
      </c>
      <c r="E43" s="5">
        <v>6.0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31">
        <f t="shared" si="4"/>
        <v>0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ht="13.5" customHeight="1">
      <c r="A44" s="32" t="s">
        <v>68</v>
      </c>
      <c r="B44" s="16" t="s">
        <v>69</v>
      </c>
      <c r="C44" s="16" t="s">
        <v>65</v>
      </c>
      <c r="D44" s="33">
        <v>0.0</v>
      </c>
      <c r="E44" s="5">
        <v>3.0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31">
        <f t="shared" si="4"/>
        <v>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ht="13.5" customHeight="1">
      <c r="A45" s="32" t="s">
        <v>70</v>
      </c>
      <c r="B45" s="16" t="s">
        <v>71</v>
      </c>
      <c r="C45" s="16" t="s">
        <v>65</v>
      </c>
      <c r="D45" s="33">
        <v>0.0</v>
      </c>
      <c r="E45" s="5">
        <v>9.0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31">
        <f t="shared" si="4"/>
        <v>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ht="13.5" customHeight="1">
      <c r="A46" s="34" t="s">
        <v>72</v>
      </c>
      <c r="B46" s="16" t="s">
        <v>73</v>
      </c>
      <c r="C46" s="5" t="s">
        <v>74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35">
        <f>SUM(W41:W45)</f>
        <v>3030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ht="13.5" customHeight="1">
      <c r="A47" s="14" t="s">
        <v>75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31"/>
      <c r="X47" s="36" t="s">
        <v>76</v>
      </c>
      <c r="Y47" s="36" t="s">
        <v>77</v>
      </c>
      <c r="Z47" s="36" t="s">
        <v>78</v>
      </c>
      <c r="AA47" s="36" t="s">
        <v>79</v>
      </c>
      <c r="AB47" s="37" t="s">
        <v>80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ht="13.5" customHeight="1">
      <c r="A48" s="24" t="s">
        <v>81</v>
      </c>
      <c r="B48" s="5"/>
      <c r="C48" s="16" t="s">
        <v>82</v>
      </c>
      <c r="D48" s="33">
        <v>0.0</v>
      </c>
      <c r="E48" s="5">
        <v>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31">
        <f t="shared" ref="W48:W50" si="5">+W$51/D$51*D48</f>
        <v>0</v>
      </c>
      <c r="X48" s="38">
        <f t="shared" ref="X48:X53" si="6">+W48/8</f>
        <v>0</v>
      </c>
      <c r="Y48" s="15"/>
      <c r="Z48" s="15"/>
      <c r="AA48" s="15"/>
      <c r="AB48" s="39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ht="13.5" customHeight="1">
      <c r="A49" s="32" t="s">
        <v>83</v>
      </c>
      <c r="B49" s="5"/>
      <c r="C49" s="5"/>
      <c r="D49" s="33">
        <v>13.0</v>
      </c>
      <c r="E49" s="5">
        <v>13.0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31">
        <f t="shared" si="5"/>
        <v>498.6075949</v>
      </c>
      <c r="X49" s="38">
        <f t="shared" si="6"/>
        <v>62.32594937</v>
      </c>
      <c r="Y49" s="38">
        <f t="shared" ref="Y49:Y52" si="7">+X49/5</f>
        <v>12.46518987</v>
      </c>
      <c r="Z49" s="40">
        <v>8.0</v>
      </c>
      <c r="AA49" s="38">
        <f t="shared" ref="AA49:AA52" si="8">+Y49/Z49</f>
        <v>1.558148734</v>
      </c>
      <c r="AB49" s="41">
        <f t="shared" ref="AB49:AB53" si="9">+AA49/4</f>
        <v>0.3895371835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ht="13.5" customHeight="1">
      <c r="A50" s="32" t="s">
        <v>84</v>
      </c>
      <c r="B50" s="5"/>
      <c r="C50" s="5"/>
      <c r="D50" s="33">
        <v>8.0</v>
      </c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31">
        <f t="shared" si="5"/>
        <v>306.835443</v>
      </c>
      <c r="X50" s="38">
        <f t="shared" si="6"/>
        <v>38.35443038</v>
      </c>
      <c r="Y50" s="38">
        <f t="shared" si="7"/>
        <v>7.670886076</v>
      </c>
      <c r="Z50" s="40">
        <v>8.0</v>
      </c>
      <c r="AA50" s="38">
        <f t="shared" si="8"/>
        <v>0.9588607595</v>
      </c>
      <c r="AB50" s="41">
        <f t="shared" si="9"/>
        <v>0.2397151899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ht="13.5" customHeight="1">
      <c r="A51" s="32" t="s">
        <v>85</v>
      </c>
      <c r="B51" s="5"/>
      <c r="C51" s="5"/>
      <c r="D51" s="33">
        <v>79.0</v>
      </c>
      <c r="E51" s="5">
        <v>38.0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31">
        <f>+W46</f>
        <v>3030</v>
      </c>
      <c r="X51" s="38">
        <f t="shared" si="6"/>
        <v>378.75</v>
      </c>
      <c r="Y51" s="38">
        <f t="shared" si="7"/>
        <v>75.75</v>
      </c>
      <c r="Z51" s="42">
        <v>8.0</v>
      </c>
      <c r="AA51" s="38">
        <f t="shared" si="8"/>
        <v>9.46875</v>
      </c>
      <c r="AB51" s="41">
        <f t="shared" si="9"/>
        <v>2.3671875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ht="13.5" customHeight="1">
      <c r="A52" s="32" t="s">
        <v>86</v>
      </c>
      <c r="B52" s="5"/>
      <c r="C52" s="5"/>
      <c r="D52" s="33">
        <v>0.0</v>
      </c>
      <c r="E52" s="5">
        <v>23.0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31">
        <f>+W$51/D$51*D52</f>
        <v>0</v>
      </c>
      <c r="X52" s="38">
        <f t="shared" si="6"/>
        <v>0</v>
      </c>
      <c r="Y52" s="38">
        <f t="shared" si="7"/>
        <v>0</v>
      </c>
      <c r="Z52" s="40">
        <v>1.0</v>
      </c>
      <c r="AA52" s="38">
        <f t="shared" si="8"/>
        <v>0</v>
      </c>
      <c r="AB52" s="41">
        <f t="shared" si="9"/>
        <v>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ht="13.5" customHeight="1">
      <c r="A53" s="43" t="s">
        <v>87</v>
      </c>
      <c r="B53" s="44"/>
      <c r="C53" s="44" t="s">
        <v>74</v>
      </c>
      <c r="D53" s="44">
        <f t="shared" ref="D53:E53" si="10">SUM(D48:D52)</f>
        <v>100</v>
      </c>
      <c r="E53" s="44">
        <f t="shared" si="10"/>
        <v>100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5">
        <f>SUM(W48:W52)</f>
        <v>3835.443038</v>
      </c>
      <c r="X53" s="46">
        <f t="shared" si="6"/>
        <v>479.4303797</v>
      </c>
      <c r="Y53" s="46"/>
      <c r="Z53" s="47"/>
      <c r="AA53" s="46">
        <f>SUM(AA49:AA52)</f>
        <v>11.98575949</v>
      </c>
      <c r="AB53" s="48">
        <f t="shared" si="9"/>
        <v>2.996439873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ht="13.5" customHeight="1">
      <c r="A54" s="4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ht="13.5" customHeight="1">
      <c r="A55" s="4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ht="13.5" customHeight="1">
      <c r="A56" s="4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ht="13.5" customHeight="1">
      <c r="A57" s="4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ht="13.5" customHeight="1">
      <c r="A58" s="49"/>
      <c r="B58" s="5"/>
      <c r="C58" s="5"/>
      <c r="D58" s="5"/>
      <c r="E58" s="5"/>
      <c r="F58" s="5"/>
      <c r="G58" s="5"/>
      <c r="H58" s="50"/>
      <c r="I58" s="5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ht="13.5" customHeight="1">
      <c r="A59" s="49"/>
      <c r="B59" s="5"/>
      <c r="C59" s="5"/>
      <c r="D59" s="5"/>
      <c r="E59" s="5"/>
      <c r="F59" s="5"/>
      <c r="G59" s="5"/>
      <c r="H59" s="51"/>
      <c r="I59" s="5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ht="13.5" customHeight="1">
      <c r="A60" s="49"/>
      <c r="B60" s="5"/>
      <c r="C60" s="5"/>
      <c r="D60" s="5"/>
      <c r="E60" s="5"/>
      <c r="F60" s="5"/>
      <c r="G60" s="5"/>
      <c r="H60" s="51"/>
      <c r="I60" s="5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ht="13.5" customHeight="1">
      <c r="A61" s="49"/>
      <c r="B61" s="5"/>
      <c r="C61" s="5"/>
      <c r="D61" s="5"/>
      <c r="E61" s="5"/>
      <c r="F61" s="5"/>
      <c r="G61" s="5"/>
      <c r="H61" s="51"/>
      <c r="I61" s="5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ht="13.5" customHeight="1">
      <c r="A62" s="49"/>
      <c r="B62" s="5"/>
      <c r="C62" s="5"/>
      <c r="D62" s="5"/>
      <c r="E62" s="5"/>
      <c r="F62" s="5"/>
      <c r="G62" s="5"/>
      <c r="H62" s="51"/>
      <c r="I62" s="5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ht="13.5" customHeight="1">
      <c r="A63" s="4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ht="13.5" customHeight="1">
      <c r="A64" s="4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ht="13.5" customHeight="1">
      <c r="A65" s="4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ht="13.5" customHeight="1">
      <c r="A66" s="4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ht="13.5" customHeight="1">
      <c r="A67" s="4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ht="13.5" customHeight="1">
      <c r="A68" s="4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ht="13.5" customHeight="1">
      <c r="A69" s="4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ht="13.5" customHeight="1">
      <c r="A70" s="4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ht="13.5" customHeight="1">
      <c r="A71" s="4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ht="13.5" customHeight="1">
      <c r="A72" s="4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ht="13.5" customHeight="1">
      <c r="A73" s="4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ht="13.5" customHeight="1">
      <c r="A74" s="4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ht="13.5" customHeight="1">
      <c r="A75" s="4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ht="13.5" customHeight="1">
      <c r="A76" s="4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ht="13.5" customHeight="1">
      <c r="A77" s="4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ht="13.5" customHeight="1">
      <c r="A78" s="4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ht="13.5" customHeight="1">
      <c r="A79" s="4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ht="13.5" customHeight="1">
      <c r="A80" s="4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ht="13.5" customHeight="1">
      <c r="A81" s="4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ht="13.5" customHeight="1">
      <c r="A82" s="4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ht="13.5" customHeight="1">
      <c r="A83" s="4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ht="13.5" customHeight="1">
      <c r="A84" s="4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ht="13.5" customHeight="1">
      <c r="A85" s="4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ht="13.5" customHeight="1">
      <c r="A86" s="4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ht="13.5" customHeight="1">
      <c r="A87" s="4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ht="13.5" customHeight="1">
      <c r="A88" s="4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ht="13.5" customHeight="1">
      <c r="A89" s="4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ht="13.5" customHeight="1">
      <c r="A90" s="4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ht="13.5" customHeight="1">
      <c r="A91" s="4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ht="13.5" customHeight="1">
      <c r="A92" s="4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ht="13.5" customHeight="1">
      <c r="A93" s="4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ht="13.5" customHeight="1">
      <c r="A94" s="4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ht="13.5" customHeight="1">
      <c r="A95" s="4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ht="13.5" customHeight="1">
      <c r="A96" s="4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ht="13.5" customHeight="1">
      <c r="A97" s="4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ht="13.5" customHeight="1">
      <c r="A98" s="4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ht="13.5" customHeight="1">
      <c r="A99" s="4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ht="13.5" customHeight="1">
      <c r="A100" s="4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ht="13.5" customHeight="1">
      <c r="A101" s="4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ht="13.5" customHeight="1">
      <c r="A102" s="4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ht="13.5" customHeight="1">
      <c r="A103" s="4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ht="13.5" customHeight="1">
      <c r="A104" s="4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ht="13.5" customHeight="1">
      <c r="A105" s="4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ht="13.5" customHeight="1">
      <c r="A106" s="4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ht="13.5" customHeight="1">
      <c r="A107" s="4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ht="13.5" customHeight="1">
      <c r="A108" s="4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ht="13.5" customHeight="1">
      <c r="A109" s="4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ht="13.5" customHeight="1">
      <c r="A110" s="4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ht="13.5" customHeight="1">
      <c r="A111" s="4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ht="13.5" customHeight="1">
      <c r="A112" s="4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ht="13.5" customHeight="1">
      <c r="A113" s="4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ht="13.5" customHeight="1">
      <c r="A114" s="4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ht="13.5" customHeight="1">
      <c r="A115" s="4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ht="13.5" customHeight="1">
      <c r="A116" s="4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ht="13.5" customHeight="1">
      <c r="A117" s="4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ht="13.5" customHeight="1">
      <c r="A118" s="4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ht="13.5" customHeight="1">
      <c r="A119" s="4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ht="13.5" customHeight="1">
      <c r="A120" s="4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ht="13.5" customHeight="1">
      <c r="A121" s="4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ht="13.5" customHeight="1">
      <c r="A122" s="4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ht="13.5" customHeight="1">
      <c r="A123" s="4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ht="13.5" customHeight="1">
      <c r="A124" s="4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ht="13.5" customHeight="1">
      <c r="A125" s="4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ht="13.5" customHeight="1">
      <c r="A126" s="4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ht="13.5" customHeight="1">
      <c r="A127" s="4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ht="13.5" customHeight="1">
      <c r="A128" s="4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ht="13.5" customHeight="1">
      <c r="A129" s="4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ht="13.5" customHeight="1">
      <c r="A130" s="4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ht="13.5" customHeight="1">
      <c r="A131" s="4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ht="13.5" customHeight="1">
      <c r="A132" s="4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ht="13.5" customHeight="1">
      <c r="A133" s="4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ht="13.5" customHeight="1">
      <c r="A134" s="4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ht="13.5" customHeight="1">
      <c r="A135" s="4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ht="13.5" customHeight="1">
      <c r="A136" s="4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ht="13.5" customHeight="1">
      <c r="A137" s="4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ht="13.5" customHeight="1">
      <c r="A138" s="4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ht="13.5" customHeight="1">
      <c r="A139" s="4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ht="13.5" customHeight="1">
      <c r="A140" s="4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ht="13.5" customHeight="1">
      <c r="A141" s="4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ht="13.5" customHeight="1">
      <c r="A142" s="4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ht="13.5" customHeight="1">
      <c r="A143" s="4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ht="13.5" customHeight="1">
      <c r="A144" s="4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ht="13.5" customHeight="1">
      <c r="A145" s="4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ht="13.5" customHeight="1">
      <c r="A146" s="4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ht="13.5" customHeight="1">
      <c r="A147" s="4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ht="13.5" customHeight="1">
      <c r="A148" s="4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ht="13.5" customHeight="1">
      <c r="A149" s="4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ht="13.5" customHeight="1">
      <c r="A150" s="4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ht="13.5" customHeight="1">
      <c r="A151" s="4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ht="13.5" customHeight="1">
      <c r="A152" s="4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ht="13.5" customHeight="1">
      <c r="A153" s="4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ht="13.5" customHeight="1">
      <c r="A154" s="4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ht="13.5" customHeight="1">
      <c r="A155" s="4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ht="13.5" customHeight="1">
      <c r="A156" s="4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ht="13.5" customHeight="1">
      <c r="A157" s="4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ht="13.5" customHeight="1">
      <c r="A158" s="4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ht="13.5" customHeight="1">
      <c r="A159" s="4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ht="13.5" customHeight="1">
      <c r="A160" s="4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ht="13.5" customHeight="1">
      <c r="A161" s="4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ht="13.5" customHeight="1">
      <c r="A162" s="4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ht="13.5" customHeight="1">
      <c r="A163" s="4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ht="13.5" customHeight="1">
      <c r="A164" s="4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ht="13.5" customHeight="1">
      <c r="A165" s="4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ht="13.5" customHeight="1">
      <c r="A166" s="4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ht="13.5" customHeight="1">
      <c r="A167" s="4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ht="13.5" customHeight="1">
      <c r="A168" s="4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ht="13.5" customHeight="1">
      <c r="A169" s="4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ht="13.5" customHeight="1">
      <c r="A170" s="4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ht="13.5" customHeight="1">
      <c r="A171" s="4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ht="13.5" customHeight="1">
      <c r="A172" s="4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ht="13.5" customHeight="1">
      <c r="A173" s="4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ht="13.5" customHeight="1">
      <c r="A174" s="4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ht="13.5" customHeight="1">
      <c r="A175" s="4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ht="13.5" customHeight="1">
      <c r="A176" s="4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ht="13.5" customHeight="1">
      <c r="A177" s="4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ht="13.5" customHeight="1">
      <c r="A178" s="4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ht="13.5" customHeight="1">
      <c r="A179" s="4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ht="13.5" customHeight="1">
      <c r="A180" s="4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ht="13.5" customHeight="1">
      <c r="A181" s="4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ht="13.5" customHeight="1">
      <c r="A182" s="4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ht="13.5" customHeight="1">
      <c r="A183" s="4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ht="13.5" customHeight="1">
      <c r="A184" s="4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ht="13.5" customHeight="1">
      <c r="A185" s="4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ht="13.5" customHeight="1">
      <c r="A186" s="4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ht="13.5" customHeight="1">
      <c r="A187" s="4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ht="13.5" customHeight="1">
      <c r="A188" s="4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ht="13.5" customHeight="1">
      <c r="A189" s="4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ht="13.5" customHeight="1">
      <c r="A190" s="4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ht="13.5" customHeight="1">
      <c r="A191" s="4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ht="13.5" customHeight="1">
      <c r="A192" s="4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ht="13.5" customHeight="1">
      <c r="A193" s="4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ht="13.5" customHeight="1">
      <c r="A194" s="4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ht="13.5" customHeight="1">
      <c r="A195" s="4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ht="13.5" customHeight="1">
      <c r="A196" s="4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ht="13.5" customHeight="1">
      <c r="A197" s="4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ht="13.5" customHeight="1">
      <c r="A198" s="4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ht="13.5" customHeight="1">
      <c r="A199" s="4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ht="13.5" customHeight="1">
      <c r="A200" s="4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ht="13.5" customHeight="1">
      <c r="A201" s="4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ht="13.5" customHeight="1">
      <c r="A202" s="4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ht="13.5" customHeight="1">
      <c r="A203" s="4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ht="13.5" customHeight="1">
      <c r="A204" s="4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ht="13.5" customHeight="1">
      <c r="A205" s="4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ht="13.5" customHeight="1">
      <c r="A206" s="4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ht="13.5" customHeight="1">
      <c r="A207" s="4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ht="13.5" customHeight="1">
      <c r="A208" s="4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ht="13.5" customHeight="1">
      <c r="A209" s="4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ht="13.5" customHeight="1">
      <c r="A210" s="4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ht="13.5" customHeight="1">
      <c r="A211" s="4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ht="13.5" customHeight="1">
      <c r="A212" s="4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ht="13.5" customHeight="1">
      <c r="A213" s="4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ht="13.5" customHeight="1">
      <c r="A214" s="4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ht="13.5" customHeight="1">
      <c r="A215" s="4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ht="13.5" customHeight="1">
      <c r="A216" s="4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ht="13.5" customHeight="1">
      <c r="A217" s="4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ht="13.5" customHeight="1">
      <c r="A218" s="4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ht="13.5" customHeight="1">
      <c r="A219" s="4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ht="13.5" customHeight="1">
      <c r="A220" s="4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ht="13.5" customHeight="1">
      <c r="A221" s="4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ht="13.5" customHeight="1">
      <c r="A222" s="4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ht="13.5" customHeight="1">
      <c r="A223" s="4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ht="13.5" customHeight="1">
      <c r="A224" s="4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ht="13.5" customHeight="1">
      <c r="A225" s="4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ht="13.5" customHeight="1">
      <c r="A226" s="4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ht="13.5" customHeight="1">
      <c r="A227" s="4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ht="13.5" customHeight="1">
      <c r="A228" s="4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ht="13.5" customHeight="1">
      <c r="A229" s="4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ht="13.5" customHeight="1">
      <c r="A230" s="4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ht="13.5" customHeight="1">
      <c r="A231" s="4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ht="13.5" customHeight="1">
      <c r="A232" s="4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ht="13.5" customHeight="1">
      <c r="A233" s="4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ht="13.5" customHeight="1">
      <c r="A234" s="4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ht="13.5" customHeight="1">
      <c r="A235" s="4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ht="13.5" customHeight="1">
      <c r="A236" s="4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ht="13.5" customHeight="1">
      <c r="A237" s="4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ht="13.5" customHeight="1">
      <c r="A238" s="4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ht="13.5" customHeight="1">
      <c r="A239" s="4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ht="13.5" customHeight="1">
      <c r="A240" s="4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ht="13.5" customHeight="1">
      <c r="A241" s="4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ht="13.5" customHeight="1">
      <c r="A242" s="4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ht="13.5" customHeight="1">
      <c r="A243" s="4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ht="13.5" customHeight="1">
      <c r="A244" s="4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ht="13.5" customHeight="1">
      <c r="A245" s="4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ht="13.5" customHeight="1">
      <c r="A246" s="4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ht="13.5" customHeight="1">
      <c r="A247" s="4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ht="13.5" customHeight="1">
      <c r="A248" s="4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ht="13.5" customHeight="1">
      <c r="A249" s="4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ht="13.5" customHeight="1">
      <c r="A250" s="4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ht="13.5" customHeight="1">
      <c r="A251" s="4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ht="13.5" customHeight="1">
      <c r="A252" s="4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ht="13.5" customHeight="1">
      <c r="A253" s="4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W2"/>
    <mergeCell ref="A2:A3"/>
    <mergeCell ref="B3:W3"/>
  </mergeCells>
  <printOptions/>
  <pageMargins bottom="0.1968503937007874" footer="0.0" header="0.0" left="0.2362204724409449" right="0.2362204724409449" top="0.1968503937007874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2025-04-29T15:44:28Z</dcterms:created>
  <dc:creator>Filo</dc:creator>
</cp:coreProperties>
</file>